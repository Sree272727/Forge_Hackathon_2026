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6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&amp;L Summary" sheetId="1" state="visible" r:id="rId3"/>
    <sheet name="Assumptions" sheetId="2" state="visible" r:id="rId4"/>
    <sheet name="New Vehicle" sheetId="3" state="visible" r:id="rId5"/>
    <sheet name="Used Vehicle" sheetId="4" state="visible" r:id="rId6"/>
    <sheet name="F&amp;I Detail" sheetId="5" state="visible" r:id="rId7"/>
    <sheet name="Service &amp; Parts" sheetId="6" state="visible" r:id="rId8"/>
  </sheets>
  <definedNames>
    <definedName function="false" hidden="false" name="Deal_Count_Range" vbProcedure="false">'F&amp;I Detail'!$A$2:$A$83</definedName>
    <definedName function="false" hidden="false" name="FI_PVR_Target" vbProcedure="false">Assumptions!$B$5</definedName>
    <definedName function="false" hidden="false" name="FI_Revenue_Range" vbProcedure="false">'F&amp;I Detail'!$E$2:$E$83</definedName>
    <definedName function="false" hidden="false" name="FloorPlanRate" vbProcedure="false">Assumptions!$B$2</definedName>
    <definedName function="false" hidden="false" name="LegalCostAddback" vbProcedure="false">Assumptions!$B$12</definedName>
    <definedName function="false" hidden="false" name="NV_TotalFrontGross_Mar" vbProcedure="false">'New Vehicle'!$B$45</definedName>
    <definedName function="false" hidden="false" name="OwnerCompAddback" vbProcedure="false">Assumptions!$B$11</definedName>
    <definedName function="false" hidden="false" name="ServiceAbsorptionTarget" vbProcedure="false">Assumptions!$B$6</definedName>
    <definedName function="false" hidden="false" name="TaxRate" vbProcedure="false">Assumptions!$B$3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76" authorId="0">
      <text>
        <r>
          <rPr>
            <sz val="10"/>
            <rFont val="Arial"/>
            <family val="2"/>
          </rPr>
          <t xml:space="preserve">CIRCULAR: TotalOverhead_Mar in Assumptions!B10 is set to approximate P&amp;L overhead. In a live model this creates an iterative circular reference with P&amp;L overhead allocation.</t>
        </r>
      </text>
    </comment>
  </commentList>
</comments>
</file>

<file path=xl/sharedStrings.xml><?xml version="1.0" encoding="utf-8"?>
<sst xmlns="http://schemas.openxmlformats.org/spreadsheetml/2006/main" count="1330" uniqueCount="370">
  <si>
    <t xml:space="preserve">DEALERSHIP GROUP — P&amp;L SUMMARY 2026</t>
  </si>
  <si>
    <t xml:space="preserve">Line Item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</si>
  <si>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</si>
  <si>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</si>
  <si>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</si>
  <si>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</si>
  <si>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</si>
  <si>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</si>
  <si>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</si>
  <si>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</si>
  <si>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</si>
  <si>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</si>
  <si>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</si>
  <si>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</si>
  <si>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YTD</t>
  </si>
  <si>
    <t xml:space="preserve">Budget</t>
  </si>
  <si>
    <t xml:space="preserve">Variance</t>
  </si>
  <si>
    <t xml:space="preserve">New Vehicle Sales</t>
  </si>
  <si>
    <t xml:space="preserve">Used Vehicle Sales</t>
  </si>
  <si>
    <t xml:space="preserve">F&amp;I Income</t>
  </si>
  <si>
    <t xml:space="preserve">Service Revenue</t>
  </si>
  <si>
    <t xml:space="preserve">Parts Revenue</t>
  </si>
  <si>
    <t xml:space="preserve">Body Shop Revenue</t>
  </si>
  <si>
    <t xml:space="preserve">Total Revenue</t>
  </si>
  <si>
    <t xml:space="preserve">New Vehicle Gross</t>
  </si>
  <si>
    <t xml:space="preserve">Used Vehicle Gross</t>
  </si>
  <si>
    <t xml:space="preserve">F&amp;I Gross</t>
  </si>
  <si>
    <t xml:space="preserve">Service &amp; Parts Gross</t>
  </si>
  <si>
    <t xml:space="preserve">Total Gross Profit</t>
  </si>
  <si>
    <t xml:space="preserve">Personnel Cost</t>
  </si>
  <si>
    <t xml:space="preserve">Facilities &amp; Utilities</t>
  </si>
  <si>
    <t xml:space="preserve">Advertising</t>
  </si>
  <si>
    <t xml:space="preserve">Other Opex</t>
  </si>
  <si>
    <t xml:space="preserve">Depreciation</t>
  </si>
  <si>
    <t xml:space="preserve">Total Operating Expenses</t>
  </si>
  <si>
    <t xml:space="preserve">Operating Income (EBIT)</t>
  </si>
  <si>
    <t xml:space="preserve">D&amp;A Addback</t>
  </si>
  <si>
    <t xml:space="preserve">Owner Comp Addback</t>
  </si>
  <si>
    <t xml:space="preserve">One-Time Legal Addback</t>
  </si>
  <si>
    <t xml:space="preserve">Interest Expense</t>
  </si>
  <si>
    <t xml:space="preserve">Other Addback</t>
  </si>
  <si>
    <t xml:space="preserve">Adjusted EBITDA</t>
  </si>
  <si>
    <t xml:space="preserve">Assumption</t>
  </si>
  <si>
    <t xml:space="preserve">Value</t>
  </si>
  <si>
    <t xml:space="preserve">Effective Date</t>
  </si>
  <si>
    <t xml:space="preserve">Notes</t>
  </si>
  <si>
    <t xml:space="preserve">FloorPlanRate</t>
  </si>
  <si>
    <t xml:space="preserve">2023-03-15</t>
  </si>
  <si>
    <t xml:space="preserve">Annual floor plan interest rate — Source: Lender Agreement 2023</t>
  </si>
  <si>
    <t xml:space="preserve">TaxRate</t>
  </si>
  <si>
    <t xml:space="preserve">2023-01-01</t>
  </si>
  <si>
    <t xml:space="preserve">Federal + state blended effective tax rate</t>
  </si>
  <si>
    <t xml:space="preserve">OverheadAllocationMethod</t>
  </si>
  <si>
    <t xml:space="preserve">revenue-weighted</t>
  </si>
  <si>
    <t xml:space="preserve">2023-06-01</t>
  </si>
  <si>
    <t xml:space="preserve">Method for allocating overhead across departments</t>
  </si>
  <si>
    <t xml:space="preserve">FI_PVR_Target</t>
  </si>
  <si>
    <t xml:space="preserve">2024-08-20</t>
  </si>
  <si>
    <t xml:space="preserve">Target F&amp;I per vehicle retailed</t>
  </si>
  <si>
    <t xml:space="preserve">ServiceAbsorptionTarget</t>
  </si>
  <si>
    <t xml:space="preserve">2024-09-01</t>
  </si>
  <si>
    <t xml:space="preserve">Target service absorption rate</t>
  </si>
  <si>
    <t xml:space="preserve">Toyota</t>
  </si>
  <si>
    <t xml:space="preserve">2024-11-01</t>
  </si>
  <si>
    <t xml:space="preserve">Toyota OEM incentive allocation rate</t>
  </si>
  <si>
    <t xml:space="preserve">Honda</t>
  </si>
  <si>
    <t xml:space="preserve">Honda OEM incentive allocation rate</t>
  </si>
  <si>
    <t xml:space="preserve">Ford</t>
  </si>
  <si>
    <t xml:space="preserve">Ford OEM incentive allocation rate</t>
  </si>
  <si>
    <t xml:space="preserve">TotalOverhead_Mar</t>
  </si>
  <si>
    <t xml:space="preserve">2024-12-01</t>
  </si>
  <si>
    <t xml:space="preserve">Total dealership overhead for March — used in service absorption calc</t>
  </si>
  <si>
    <t xml:space="preserve">OwnerCompensationAddback</t>
  </si>
  <si>
    <t xml:space="preserve">2024-11-15</t>
  </si>
  <si>
    <t xml:space="preserve">Non-recurring owner compensation addback for EBITDA</t>
  </si>
  <si>
    <t xml:space="preserve">OneLegalCostAddback</t>
  </si>
  <si>
    <t xml:space="preserve">2024-10-20</t>
  </si>
  <si>
    <t xml:space="preserve">One-time legal cost addback for EBITDA</t>
  </si>
  <si>
    <t xml:space="preserve">DEPRECATED_OldFloorPlanRate</t>
  </si>
  <si>
    <t xml:space="preserve">2022-01-01</t>
  </si>
  <si>
    <t xml:space="preserve">DEPRECATED — old floor plan rate, do not use</t>
  </si>
  <si>
    <t xml:space="preserve">DEPRECATED_OldTaxRate</t>
  </si>
  <si>
    <t xml:space="preserve">2021-06-15</t>
  </si>
  <si>
    <t xml:space="preserve">DEPRECATED — pre-tax-reform rate, do not use</t>
  </si>
  <si>
    <t xml:space="preserve">Deal#</t>
  </si>
  <si>
    <t xml:space="preserve">Stock#</t>
  </si>
  <si>
    <t xml:space="preserve">VIN</t>
  </si>
  <si>
    <t xml:space="preserve">Sale Date</t>
  </si>
  <si>
    <t xml:space="preserve">OEM</t>
  </si>
  <si>
    <t xml:space="preserve">Sale Price ($)</t>
  </si>
  <si>
    <t xml:space="preserve">Invoice Cost ($)</t>
  </si>
  <si>
    <t xml:space="preserve">Holdback ($)</t>
  </si>
  <si>
    <t xml:space="preserve">Incentive Alloc ($)</t>
  </si>
  <si>
    <t xml:space="preserve">Front Gross ($)</t>
  </si>
  <si>
    <t xml:space="preserve">F&amp;I Rev ($)</t>
  </si>
  <si>
    <t xml:space="preserve">Month</t>
  </si>
  <si>
    <t xml:space="preserve">S2201</t>
  </si>
  <si>
    <t xml:space="preserve">1HGBH41JXMN001001</t>
  </si>
  <si>
    <t xml:space="preserve">2026-01-08</t>
  </si>
  <si>
    <t xml:space="preserve">S2202</t>
  </si>
  <si>
    <t xml:space="preserve">1HGBH41JXMN001002</t>
  </si>
  <si>
    <t xml:space="preserve">2026-01-18</t>
  </si>
  <si>
    <t xml:space="preserve">S2203</t>
  </si>
  <si>
    <t xml:space="preserve">1HGBH41JXMN001003</t>
  </si>
  <si>
    <t xml:space="preserve">2026-01-07</t>
  </si>
  <si>
    <t xml:space="preserve">S2204</t>
  </si>
  <si>
    <t xml:space="preserve">1HGBH41JXMN001004</t>
  </si>
  <si>
    <t xml:space="preserve">S2205</t>
  </si>
  <si>
    <t xml:space="preserve">1HGBH41JXMN001005</t>
  </si>
  <si>
    <t xml:space="preserve">2026-01-09</t>
  </si>
  <si>
    <t xml:space="preserve">S2206</t>
  </si>
  <si>
    <t xml:space="preserve">1HGBH41JXMN001006</t>
  </si>
  <si>
    <t xml:space="preserve">S2207</t>
  </si>
  <si>
    <t xml:space="preserve">1HGBH41JXMN001007</t>
  </si>
  <si>
    <t xml:space="preserve">2026-01-04</t>
  </si>
  <si>
    <t xml:space="preserve">S2208</t>
  </si>
  <si>
    <t xml:space="preserve">1HGBH41JXMN001008</t>
  </si>
  <si>
    <t xml:space="preserve">2026-01-12</t>
  </si>
  <si>
    <t xml:space="preserve">S2209</t>
  </si>
  <si>
    <t xml:space="preserve">1HGBH41JXMN001009</t>
  </si>
  <si>
    <t xml:space="preserve">2026-01-15</t>
  </si>
  <si>
    <t xml:space="preserve">S2210</t>
  </si>
  <si>
    <t xml:space="preserve">1HGBH41JXMN001010</t>
  </si>
  <si>
    <t xml:space="preserve">2026-01-03</t>
  </si>
  <si>
    <t xml:space="preserve">S2211</t>
  </si>
  <si>
    <t xml:space="preserve">1HGBH41JXMN001011</t>
  </si>
  <si>
    <t xml:space="preserve">2026-01-28</t>
  </si>
  <si>
    <t xml:space="preserve">S2212</t>
  </si>
  <si>
    <t xml:space="preserve">1HGBH41JXMN001012</t>
  </si>
  <si>
    <t xml:space="preserve">2026-01-22</t>
  </si>
  <si>
    <t xml:space="preserve">S2213</t>
  </si>
  <si>
    <t xml:space="preserve">1HGBH41JXMN001013</t>
  </si>
  <si>
    <t xml:space="preserve">S2214</t>
  </si>
  <si>
    <t xml:space="preserve">1HGBH41JXMN001014</t>
  </si>
  <si>
    <t xml:space="preserve">2026-02-27</t>
  </si>
  <si>
    <t xml:space="preserve">S2215</t>
  </si>
  <si>
    <t xml:space="preserve">1HGBH41JXMN001015</t>
  </si>
  <si>
    <t xml:space="preserve">2026-02-22</t>
  </si>
  <si>
    <t xml:space="preserve">S2216</t>
  </si>
  <si>
    <t xml:space="preserve">1HGBH41JXMN001016</t>
  </si>
  <si>
    <t xml:space="preserve">2026-02-18</t>
  </si>
  <si>
    <t xml:space="preserve">S2217</t>
  </si>
  <si>
    <t xml:space="preserve">1HGBH41JXMN001017</t>
  </si>
  <si>
    <t xml:space="preserve">2026-02-21</t>
  </si>
  <si>
    <t xml:space="preserve">S2218</t>
  </si>
  <si>
    <t xml:space="preserve">1HGBH41JXMN001018</t>
  </si>
  <si>
    <t xml:space="preserve">2026-02-25</t>
  </si>
  <si>
    <t xml:space="preserve">S2219</t>
  </si>
  <si>
    <t xml:space="preserve">1HGBH41JXMN001019</t>
  </si>
  <si>
    <t xml:space="preserve">2026-02-11</t>
  </si>
  <si>
    <t xml:space="preserve">S2220</t>
  </si>
  <si>
    <t xml:space="preserve">1HGBH41JXMN001020</t>
  </si>
  <si>
    <t xml:space="preserve">2026-02-19</t>
  </si>
  <si>
    <t xml:space="preserve">S2221</t>
  </si>
  <si>
    <t xml:space="preserve">1HGBH41JXMN001021</t>
  </si>
  <si>
    <t xml:space="preserve">S2222</t>
  </si>
  <si>
    <t xml:space="preserve">1HGBH41JXMN001022</t>
  </si>
  <si>
    <t xml:space="preserve">2026-02-24</t>
  </si>
  <si>
    <t xml:space="preserve">S2223</t>
  </si>
  <si>
    <t xml:space="preserve">1HGBH41JXMN001023</t>
  </si>
  <si>
    <t xml:space="preserve">S2224</t>
  </si>
  <si>
    <t xml:space="preserve">1HGBH41JXMN001024</t>
  </si>
  <si>
    <t xml:space="preserve">2026-02-17</t>
  </si>
  <si>
    <t xml:space="preserve">S2225</t>
  </si>
  <si>
    <t xml:space="preserve">1HGBH41JXMN001025</t>
  </si>
  <si>
    <t xml:space="preserve">2026-02-04</t>
  </si>
  <si>
    <t xml:space="preserve">S2226</t>
  </si>
  <si>
    <t xml:space="preserve">1HGBH41JXMN001026</t>
  </si>
  <si>
    <t xml:space="preserve">2026-02-20</t>
  </si>
  <si>
    <t xml:space="preserve">S2227</t>
  </si>
  <si>
    <t xml:space="preserve">1HGBH41JXMN001027</t>
  </si>
  <si>
    <t xml:space="preserve">2026-03-17</t>
  </si>
  <si>
    <t xml:space="preserve">S2228</t>
  </si>
  <si>
    <t xml:space="preserve">1HGBH41JXMN001028</t>
  </si>
  <si>
    <t xml:space="preserve">2026-03-22</t>
  </si>
  <si>
    <t xml:space="preserve">S2229</t>
  </si>
  <si>
    <t xml:space="preserve">1HGBH41JXMN001029</t>
  </si>
  <si>
    <t xml:space="preserve">2026-03-04</t>
  </si>
  <si>
    <t xml:space="preserve">S2230</t>
  </si>
  <si>
    <t xml:space="preserve">1HGBH41JXMN001030</t>
  </si>
  <si>
    <t xml:space="preserve">2026-03-24</t>
  </si>
  <si>
    <t xml:space="preserve">S2231</t>
  </si>
  <si>
    <t xml:space="preserve">1HGBH41JXMN001031</t>
  </si>
  <si>
    <t xml:space="preserve">S2232</t>
  </si>
  <si>
    <t xml:space="preserve">1HGBH41JXMN001032</t>
  </si>
  <si>
    <t xml:space="preserve">2026-03-12</t>
  </si>
  <si>
    <t xml:space="preserve">S2233</t>
  </si>
  <si>
    <t xml:space="preserve">1HGBH41JXMN001033</t>
  </si>
  <si>
    <t xml:space="preserve">2026-03-01</t>
  </si>
  <si>
    <t xml:space="preserve">S2234</t>
  </si>
  <si>
    <t xml:space="preserve">1HGBH41JXMN001034</t>
  </si>
  <si>
    <t xml:space="preserve">2026-03-26</t>
  </si>
  <si>
    <t xml:space="preserve">S2235</t>
  </si>
  <si>
    <t xml:space="preserve">1HGBH41JXMN001035</t>
  </si>
  <si>
    <t xml:space="preserve">2026-03-19</t>
  </si>
  <si>
    <t xml:space="preserve">S2236</t>
  </si>
  <si>
    <t xml:space="preserve">1HGBH41JXMN001036</t>
  </si>
  <si>
    <t xml:space="preserve">2026-03-03</t>
  </si>
  <si>
    <t xml:space="preserve">S2237</t>
  </si>
  <si>
    <t xml:space="preserve">1HGBH41JXMN001037</t>
  </si>
  <si>
    <t xml:space="preserve">2026-03-18</t>
  </si>
  <si>
    <t xml:space="preserve">S2238</t>
  </si>
  <si>
    <t xml:space="preserve">1HGBH41JXMN001038</t>
  </si>
  <si>
    <t xml:space="preserve">2026-03-14</t>
  </si>
  <si>
    <t xml:space="preserve">S2239</t>
  </si>
  <si>
    <t xml:space="preserve">1HGBH41JXMN001039</t>
  </si>
  <si>
    <t xml:space="preserve">S2240</t>
  </si>
  <si>
    <t xml:space="preserve">1HGBH41JXMN001040</t>
  </si>
  <si>
    <t xml:space="preserve">SUMMARY — MARCH</t>
  </si>
  <si>
    <t xml:space="preserve">Unit Count</t>
  </si>
  <si>
    <t xml:space="preserve">Total Front Gross ($)</t>
  </si>
  <si>
    <t xml:space="preserve">Avg Front Gross ($)</t>
  </si>
  <si>
    <t xml:space="preserve">Total F&amp;I Revenue ($)</t>
  </si>
  <si>
    <t xml:space="preserve">Avg F&amp;I PVR ($)</t>
  </si>
  <si>
    <t xml:space="preserve">Days on Lot</t>
  </si>
  <si>
    <t xml:space="preserve">Acquisition Source</t>
  </si>
  <si>
    <t xml:space="preserve">Acq Cost ($)</t>
  </si>
  <si>
    <t xml:space="preserve">Recon Cost ($)</t>
  </si>
  <si>
    <t xml:space="preserve">Floor Plan Int ($)</t>
  </si>
  <si>
    <t xml:space="preserve">Adj Gross ($)</t>
  </si>
  <si>
    <t xml:space="preserve">U4001</t>
  </si>
  <si>
    <t xml:space="preserve">2T1BURHE0JC002001</t>
  </si>
  <si>
    <t xml:space="preserve">2026-01-19</t>
  </si>
  <si>
    <t xml:space="preserve">Direct</t>
  </si>
  <si>
    <t xml:space="preserve">U4002</t>
  </si>
  <si>
    <t xml:space="preserve">2T1BURHE0JC002002</t>
  </si>
  <si>
    <t xml:space="preserve">2026-01-23</t>
  </si>
  <si>
    <t xml:space="preserve">U4003</t>
  </si>
  <si>
    <t xml:space="preserve">2T1BURHE0JC002003</t>
  </si>
  <si>
    <t xml:space="preserve">Auction</t>
  </si>
  <si>
    <t xml:space="preserve">U4004</t>
  </si>
  <si>
    <t xml:space="preserve">2T1BURHE0JC002004</t>
  </si>
  <si>
    <t xml:space="preserve">U4005</t>
  </si>
  <si>
    <t xml:space="preserve">2T1BURHE0JC002005</t>
  </si>
  <si>
    <t xml:space="preserve">U4006</t>
  </si>
  <si>
    <t xml:space="preserve">2T1BURHE0JC002006</t>
  </si>
  <si>
    <t xml:space="preserve">U4007</t>
  </si>
  <si>
    <t xml:space="preserve">2T1BURHE0JC002007</t>
  </si>
  <si>
    <t xml:space="preserve">U4008</t>
  </si>
  <si>
    <t xml:space="preserve">2T1BURHE0JC002008</t>
  </si>
  <si>
    <t xml:space="preserve">2026-01-26</t>
  </si>
  <si>
    <t xml:space="preserve">Trade-in</t>
  </si>
  <si>
    <t xml:space="preserve">U4009</t>
  </si>
  <si>
    <t xml:space="preserve">2T1BURHE0JC002009</t>
  </si>
  <si>
    <t xml:space="preserve">2026-01-05</t>
  </si>
  <si>
    <t xml:space="preserve">U4010</t>
  </si>
  <si>
    <t xml:space="preserve">2T1BURHE0JC002010</t>
  </si>
  <si>
    <t xml:space="preserve">U4011</t>
  </si>
  <si>
    <t xml:space="preserve">2T1BURHE0JC002011</t>
  </si>
  <si>
    <t xml:space="preserve">2026-02-03</t>
  </si>
  <si>
    <t xml:space="preserve">U4012</t>
  </si>
  <si>
    <t xml:space="preserve">2T1BURHE0JC002012</t>
  </si>
  <si>
    <t xml:space="preserve">2026-02-28</t>
  </si>
  <si>
    <t xml:space="preserve">U4013</t>
  </si>
  <si>
    <t xml:space="preserve">2T1BURHE0JC002013</t>
  </si>
  <si>
    <t xml:space="preserve">2026-02-09</t>
  </si>
  <si>
    <t xml:space="preserve">U4014</t>
  </si>
  <si>
    <t xml:space="preserve">2T1BURHE0JC002014</t>
  </si>
  <si>
    <t xml:space="preserve">2026-02-05</t>
  </si>
  <si>
    <t xml:space="preserve">U4015</t>
  </si>
  <si>
    <t xml:space="preserve">2T1BURHE0JC002015</t>
  </si>
  <si>
    <t xml:space="preserve">2026-02-02</t>
  </si>
  <si>
    <t xml:space="preserve">U4016</t>
  </si>
  <si>
    <t xml:space="preserve">2T1BURHE0JC002016</t>
  </si>
  <si>
    <t xml:space="preserve">U4017</t>
  </si>
  <si>
    <t xml:space="preserve">2T1BURHE0JC002017</t>
  </si>
  <si>
    <t xml:space="preserve">U4018</t>
  </si>
  <si>
    <t xml:space="preserve">2T1BURHE0JC002018</t>
  </si>
  <si>
    <t xml:space="preserve">2026-02-13</t>
  </si>
  <si>
    <t xml:space="preserve">U4019</t>
  </si>
  <si>
    <t xml:space="preserve">2T1BURHE0JC002019</t>
  </si>
  <si>
    <t xml:space="preserve">U4020</t>
  </si>
  <si>
    <t xml:space="preserve">2T1BURHE0JC002020</t>
  </si>
  <si>
    <t xml:space="preserve">U4021</t>
  </si>
  <si>
    <t xml:space="preserve">2T1BURHE0JC002021</t>
  </si>
  <si>
    <t xml:space="preserve">2026-03-09</t>
  </si>
  <si>
    <t xml:space="preserve">U4022</t>
  </si>
  <si>
    <t xml:space="preserve">2T1BURHE0JC002022</t>
  </si>
  <si>
    <t xml:space="preserve">2026-03-11</t>
  </si>
  <si>
    <t xml:space="preserve">U4023</t>
  </si>
  <si>
    <t xml:space="preserve">2T1BURHE0JC002023</t>
  </si>
  <si>
    <t xml:space="preserve">U4024</t>
  </si>
  <si>
    <t xml:space="preserve">2T1BURHE0JC002024</t>
  </si>
  <si>
    <t xml:space="preserve">U4025</t>
  </si>
  <si>
    <t xml:space="preserve">2T1BURHE0JC002025</t>
  </si>
  <si>
    <t xml:space="preserve">2026-03-23</t>
  </si>
  <si>
    <t xml:space="preserve">U4026</t>
  </si>
  <si>
    <t xml:space="preserve">2T1BURHE0JC002026</t>
  </si>
  <si>
    <t xml:space="preserve">U4027</t>
  </si>
  <si>
    <t xml:space="preserve">2T1BURHE0JC002027</t>
  </si>
  <si>
    <t xml:space="preserve">2026-03-05</t>
  </si>
  <si>
    <t xml:space="preserve">U4028</t>
  </si>
  <si>
    <t xml:space="preserve">2T1BURHE0JC002028</t>
  </si>
  <si>
    <t xml:space="preserve">U4029</t>
  </si>
  <si>
    <t xml:space="preserve">2T1BURHE0JC002029</t>
  </si>
  <si>
    <t xml:space="preserve">2026-03-07</t>
  </si>
  <si>
    <t xml:space="preserve">U4030</t>
  </si>
  <si>
    <t xml:space="preserve">2T1BURHE0JC002030</t>
  </si>
  <si>
    <t xml:space="preserve">U4031</t>
  </si>
  <si>
    <t xml:space="preserve">2T1BURHE0JC002031</t>
  </si>
  <si>
    <t xml:space="preserve">2026-03-02</t>
  </si>
  <si>
    <t xml:space="preserve">Total Adj Gross ($)</t>
  </si>
  <si>
    <t xml:space="preserve">Avg Adj Gross ($)</t>
  </si>
  <si>
    <t xml:space="preserve">Wtd Avg Recon Cost ($)</t>
  </si>
  <si>
    <t xml:space="preserve">Deal Type</t>
  </si>
  <si>
    <t xml:space="preserve">Product Type</t>
  </si>
  <si>
    <t xml:space="preserve">Product Cost ($)</t>
  </si>
  <si>
    <t xml:space="preserve">Product Revenue ($)</t>
  </si>
  <si>
    <t xml:space="preserve">Reserve ($)</t>
  </si>
  <si>
    <t xml:space="preserve">Penetration</t>
  </si>
  <si>
    <t xml:space="preserve">New</t>
  </si>
  <si>
    <t xml:space="preserve">GAP</t>
  </si>
  <si>
    <t xml:space="preserve">Yes</t>
  </si>
  <si>
    <t xml:space="preserve">Tire &amp; Wheel</t>
  </si>
  <si>
    <t xml:space="preserve">VSC</t>
  </si>
  <si>
    <t xml:space="preserve">Life/A&amp;H</t>
  </si>
  <si>
    <t xml:space="preserve">No</t>
  </si>
  <si>
    <t xml:space="preserve">Paint Protection</t>
  </si>
  <si>
    <t xml:space="preserve">F&amp;I SUMMARY — MARCH</t>
  </si>
  <si>
    <t xml:space="preserve">Deal Count</t>
  </si>
  <si>
    <t xml:space="preserve">F&amp;I PVR ($)</t>
  </si>
  <si>
    <t xml:space="preserve">PVR Target ($)</t>
  </si>
  <si>
    <t xml:space="preserve">PVR vs Target ($)</t>
  </si>
  <si>
    <t xml:space="preserve">RO#</t>
  </si>
  <si>
    <t xml:space="preserve">Date</t>
  </si>
  <si>
    <t xml:space="preserve">Type</t>
  </si>
  <si>
    <t xml:space="preserve">Labor Rev ($)</t>
  </si>
  <si>
    <t xml:space="preserve">Parts Rev ($)</t>
  </si>
  <si>
    <t xml:space="preserve">Labor Cost ($)</t>
  </si>
  <si>
    <t xml:space="preserve">Parts Cost ($)</t>
  </si>
  <si>
    <t xml:space="preserve">2026-01-27</t>
  </si>
  <si>
    <t xml:space="preserve">Customer Pay</t>
  </si>
  <si>
    <t xml:space="preserve">2026-01-02</t>
  </si>
  <si>
    <t xml:space="preserve">2026-01-20</t>
  </si>
  <si>
    <t xml:space="preserve">2026-01-10</t>
  </si>
  <si>
    <t xml:space="preserve">2026-01-24</t>
  </si>
  <si>
    <t xml:space="preserve">Internal</t>
  </si>
  <si>
    <t xml:space="preserve">2026-01-14</t>
  </si>
  <si>
    <t xml:space="preserve">Warranty</t>
  </si>
  <si>
    <t xml:space="preserve">2026-01-25</t>
  </si>
  <si>
    <t xml:space="preserve">2026-01-16</t>
  </si>
  <si>
    <t xml:space="preserve">2026-01-11</t>
  </si>
  <si>
    <t xml:space="preserve">2026-01-01</t>
  </si>
  <si>
    <t xml:space="preserve">2026-01-13</t>
  </si>
  <si>
    <t xml:space="preserve">2026-01-06</t>
  </si>
  <si>
    <t xml:space="preserve">2026-02-12</t>
  </si>
  <si>
    <t xml:space="preserve">2026-02-10</t>
  </si>
  <si>
    <t xml:space="preserve">2026-02-15</t>
  </si>
  <si>
    <t xml:space="preserve">2026-02-01</t>
  </si>
  <si>
    <t xml:space="preserve">2026-02-07</t>
  </si>
  <si>
    <t xml:space="preserve">2026-02-08</t>
  </si>
  <si>
    <t xml:space="preserve">2026-02-26</t>
  </si>
  <si>
    <t xml:space="preserve">2026-02-16</t>
  </si>
  <si>
    <t xml:space="preserve">2026-03-06</t>
  </si>
  <si>
    <t xml:space="preserve">2026-03-20</t>
  </si>
  <si>
    <t xml:space="preserve">2026-03-15</t>
  </si>
  <si>
    <t xml:space="preserve">2026-03-10</t>
  </si>
  <si>
    <t xml:space="preserve">2026-03-25</t>
  </si>
  <si>
    <t xml:space="preserve">2026-03-21</t>
  </si>
  <si>
    <t xml:space="preserve">2026-03-16</t>
  </si>
  <si>
    <t xml:space="preserve">2026-03-08</t>
  </si>
  <si>
    <t xml:space="preserve">SERVICE &amp; PARTS SUMMARY — MARCH</t>
  </si>
  <si>
    <t xml:space="preserve">Total Labor Revenue ($)</t>
  </si>
  <si>
    <t xml:space="preserve">Total Parts Revenue ($)</t>
  </si>
  <si>
    <t xml:space="preserve">Total Labor Cost ($)</t>
  </si>
  <si>
    <t xml:space="preserve">Total Parts Cost ($)</t>
  </si>
  <si>
    <t xml:space="preserve">Service Gross ($)</t>
  </si>
  <si>
    <t xml:space="preserve">Parts Gross ($)</t>
  </si>
  <si>
    <t xml:space="preserve">Total S&amp;P Gross ($)</t>
  </si>
  <si>
    <t xml:space="preserve">Service Absorption Rate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</si>
</sst>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"/>
    <numFmt numFmtId="166" formatCode="\$#,##0;&quot;($&quot;#,##0\);\-"/>
    <numFmt numFmtId="167" formatCode="0.000%"/>
    <numFmt numFmtId="168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sz val="10"/>
      <color rgb="FFFF0000"/>
      <name val="Arial"/>
      <family val="0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BDD7EE"/>
      </patternFill>
    </fill>
    <fill>
      <patternFill patternType="solid">
        <fgColor rgb="FFBDD7EE"/>
        <bgColor rgb="FFD6E4F0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99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6E4F0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99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16" min="2" style="1" width="13"/>
  </cols>
  <sheetData>
    <row r="1" customFormat="false" ht="15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5" hidden="false" customHeight="true" outlineLevel="0" collapsed="false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5" t="s">
        <v>14</v>
      </c>
      <c r="O2" s="5" t="s">
        <v>15</v>
      </c>
      <c r="P2" s="5" t="s">
        <v>16</v>
      </c>
    </row>
    <row r="4" customFormat="false" ht="15" hidden="false" customHeight="true" outlineLevel="0" collapsed="false">
      <c r="A4" s="6" t="s">
        <v>17</v>
      </c>
      <c r="B4" s="7" t="n">
        <v>902143</v>
      </c>
      <c r="C4" s="7" t="n">
        <v>814579</v>
      </c>
      <c r="D4" s="7" t="n">
        <v>885162</v>
      </c>
      <c r="E4" s="7" t="n">
        <v>870939</v>
      </c>
      <c r="F4" s="7" t="n">
        <v>813920</v>
      </c>
      <c r="G4" s="7" t="n">
        <v>842700</v>
      </c>
      <c r="H4" s="7" t="n">
        <v>899872</v>
      </c>
      <c r="I4" s="7" t="n">
        <v>725339</v>
      </c>
      <c r="J4" s="7" t="n">
        <v>764040</v>
      </c>
      <c r="K4" s="7" t="n">
        <v>751025</v>
      </c>
      <c r="L4" s="7" t="n">
        <v>906636</v>
      </c>
      <c r="M4" s="7" t="n">
        <v>841427</v>
      </c>
      <c r="N4" s="8" t="n">
        <f aca="false">SUM(B4:M4)</f>
        <v>10017782</v>
      </c>
    </row>
    <row r="5" customFormat="false" ht="15" hidden="false" customHeight="true" outlineLevel="0" collapsed="false">
      <c r="A5" s="6" t="s">
        <v>18</v>
      </c>
      <c r="B5" s="7" t="n">
        <v>412264</v>
      </c>
      <c r="C5" s="7" t="n">
        <v>447838</v>
      </c>
      <c r="D5" s="7" t="n">
        <v>393554</v>
      </c>
      <c r="E5" s="7" t="n">
        <v>381882</v>
      </c>
      <c r="F5" s="7" t="n">
        <v>393634</v>
      </c>
      <c r="G5" s="7" t="n">
        <v>434006</v>
      </c>
      <c r="H5" s="7" t="n">
        <v>432379</v>
      </c>
      <c r="I5" s="7" t="n">
        <v>375930</v>
      </c>
      <c r="J5" s="7" t="n">
        <v>453938</v>
      </c>
      <c r="K5" s="7" t="n">
        <v>419982</v>
      </c>
      <c r="L5" s="7" t="n">
        <v>423634</v>
      </c>
      <c r="M5" s="7" t="n">
        <v>433301</v>
      </c>
      <c r="N5" s="8" t="n">
        <f aca="false">SUM(B5:M5)</f>
        <v>5002342</v>
      </c>
    </row>
    <row r="6" customFormat="false" ht="15" hidden="false" customHeight="true" outlineLevel="0" collapsed="false">
      <c r="A6" s="6" t="s">
        <v>19</v>
      </c>
      <c r="B6" s="7" t="n">
        <v>90603</v>
      </c>
      <c r="C6" s="7" t="n">
        <v>93668</v>
      </c>
      <c r="D6" s="7" t="n">
        <v>84541</v>
      </c>
      <c r="E6" s="7" t="n">
        <v>78353</v>
      </c>
      <c r="F6" s="7" t="n">
        <v>85856</v>
      </c>
      <c r="G6" s="7" t="n">
        <v>90509</v>
      </c>
      <c r="H6" s="7" t="n">
        <v>82321</v>
      </c>
      <c r="I6" s="7" t="n">
        <v>92593</v>
      </c>
      <c r="J6" s="7" t="n">
        <v>89501</v>
      </c>
      <c r="K6" s="7" t="n">
        <v>86022</v>
      </c>
      <c r="L6" s="7" t="n">
        <v>98684</v>
      </c>
      <c r="M6" s="7" t="n">
        <v>89941</v>
      </c>
      <c r="N6" s="8" t="n">
        <f aca="false">SUM(B6:M6)</f>
        <v>1062592</v>
      </c>
    </row>
    <row r="7" customFormat="false" ht="15" hidden="false" customHeight="true" outlineLevel="0" collapsed="false">
      <c r="A7" s="6" t="s">
        <v>20</v>
      </c>
      <c r="B7" s="7" t="n">
        <v>197716</v>
      </c>
      <c r="C7" s="7" t="n">
        <v>185338</v>
      </c>
      <c r="D7" s="7" t="n">
        <v>163702</v>
      </c>
      <c r="E7" s="7" t="n">
        <v>201575</v>
      </c>
      <c r="F7" s="7" t="n">
        <v>164732</v>
      </c>
      <c r="G7" s="7" t="n">
        <v>179977</v>
      </c>
      <c r="H7" s="7" t="n">
        <v>179374</v>
      </c>
      <c r="I7" s="7" t="n">
        <v>195980</v>
      </c>
      <c r="J7" s="7" t="n">
        <v>178654</v>
      </c>
      <c r="K7" s="7" t="n">
        <v>165799</v>
      </c>
      <c r="L7" s="7" t="n">
        <v>173505</v>
      </c>
      <c r="M7" s="7" t="n">
        <v>191975</v>
      </c>
      <c r="N7" s="8" t="n">
        <f aca="false">SUM(B7:M7)</f>
        <v>2178327</v>
      </c>
    </row>
    <row r="8" customFormat="false" ht="15" hidden="false" customHeight="true" outlineLevel="0" collapsed="false">
      <c r="A8" s="6" t="s">
        <v>21</v>
      </c>
      <c r="B8" s="7" t="n">
        <v>85963</v>
      </c>
      <c r="C8" s="7" t="n">
        <v>96867</v>
      </c>
      <c r="D8" s="7" t="n">
        <v>100852</v>
      </c>
      <c r="E8" s="7" t="n">
        <v>86641</v>
      </c>
      <c r="F8" s="7" t="n">
        <v>91632</v>
      </c>
      <c r="G8" s="7" t="n">
        <v>91318</v>
      </c>
      <c r="H8" s="7" t="n">
        <v>98255</v>
      </c>
      <c r="I8" s="7" t="n">
        <v>102532</v>
      </c>
      <c r="J8" s="7" t="n">
        <v>99210</v>
      </c>
      <c r="K8" s="7" t="n">
        <v>105962</v>
      </c>
      <c r="L8" s="7" t="n">
        <v>94510</v>
      </c>
      <c r="M8" s="7" t="n">
        <v>87755</v>
      </c>
      <c r="N8" s="8" t="n">
        <f aca="false">SUM(B8:M8)</f>
        <v>1141497</v>
      </c>
    </row>
    <row r="9" customFormat="false" ht="15" hidden="false" customHeight="true" outlineLevel="0" collapsed="false">
      <c r="A9" s="6" t="s">
        <v>22</v>
      </c>
      <c r="B9" s="7" t="n">
        <v>38319</v>
      </c>
      <c r="C9" s="7" t="n">
        <v>44177</v>
      </c>
      <c r="D9" s="7" t="n">
        <v>46471</v>
      </c>
      <c r="E9" s="7" t="n">
        <v>37332</v>
      </c>
      <c r="F9" s="7" t="n">
        <v>38992</v>
      </c>
      <c r="G9" s="7" t="n">
        <v>44934</v>
      </c>
      <c r="H9" s="7" t="n">
        <v>45888</v>
      </c>
      <c r="I9" s="7" t="n">
        <v>40141</v>
      </c>
      <c r="J9" s="7" t="n">
        <v>40085</v>
      </c>
      <c r="K9" s="7" t="n">
        <v>40974</v>
      </c>
      <c r="L9" s="7" t="n">
        <v>45179</v>
      </c>
      <c r="M9" s="7" t="n">
        <v>41731</v>
      </c>
      <c r="N9" s="8" t="n">
        <f aca="false">SUM(B9:M9)</f>
        <v>504223</v>
      </c>
    </row>
    <row r="11" customFormat="false" ht="15" hidden="false" customHeight="true" outlineLevel="0" collapsed="false">
      <c r="A11" s="9" t="s">
        <v>23</v>
      </c>
      <c r="B11" s="10" t="n">
        <f aca="false">SUM(B4:B10)</f>
        <v>1727008</v>
      </c>
      <c r="C11" s="10" t="n">
        <f aca="false">SUM(C4:C10)</f>
        <v>1682467</v>
      </c>
      <c r="D11" s="10" t="n">
        <f aca="false">SUM(D4:D10)</f>
        <v>1674282</v>
      </c>
      <c r="E11" s="10" t="n">
        <f aca="false">SUM(E4:E10)</f>
        <v>1656722</v>
      </c>
      <c r="F11" s="10" t="n">
        <f aca="false">SUM(F4:F10)</f>
        <v>1588766</v>
      </c>
      <c r="G11" s="10" t="n">
        <f aca="false">SUM(G4:G10)</f>
        <v>1683444</v>
      </c>
      <c r="H11" s="10" t="n">
        <f aca="false">SUM(H4:H10)</f>
        <v>1738089</v>
      </c>
      <c r="I11" s="10" t="n">
        <f aca="false">SUM(I4:I10)</f>
        <v>1532515</v>
      </c>
      <c r="J11" s="10" t="n">
        <f aca="false">SUM(J4:J10)</f>
        <v>1625428</v>
      </c>
      <c r="K11" s="10" t="n">
        <f aca="false">SUM(K4:K10)</f>
        <v>1569764</v>
      </c>
      <c r="L11" s="10" t="n">
        <f aca="false">SUM(L4:L10)</f>
        <v>1742148</v>
      </c>
      <c r="M11" s="10" t="n">
        <f aca="false">SUM(M4:M10)</f>
        <v>1686130</v>
      </c>
    </row>
    <row r="13" customFormat="false" ht="15" hidden="false" customHeight="true" outlineLevel="0" collapsed="false">
      <c r="A13" s="6" t="s">
        <v>24</v>
      </c>
      <c r="B13" s="7" t="n">
        <v>127425</v>
      </c>
      <c r="C13" s="7" t="n">
        <v>154522</v>
      </c>
      <c r="D13" s="11" t="n">
        <f aca="false">'New Vehicle'!$B$45</f>
        <v>81057.72</v>
      </c>
      <c r="E13" s="7" t="n">
        <v>138503</v>
      </c>
      <c r="F13" s="7" t="n">
        <v>164078</v>
      </c>
      <c r="G13" s="7" t="n">
        <v>127922</v>
      </c>
      <c r="H13" s="7" t="n">
        <v>154914</v>
      </c>
      <c r="I13" s="7" t="n">
        <v>137930</v>
      </c>
      <c r="J13" s="7" t="n">
        <v>161290</v>
      </c>
      <c r="K13" s="7" t="n">
        <v>145200</v>
      </c>
      <c r="L13" s="7" t="n">
        <v>143560</v>
      </c>
      <c r="M13" s="7" t="n">
        <v>145324</v>
      </c>
    </row>
    <row r="14" customFormat="false" ht="15" hidden="false" customHeight="true" outlineLevel="0" collapsed="false">
      <c r="A14" s="6" t="s">
        <v>25</v>
      </c>
      <c r="B14" s="7" t="n">
        <v>127906</v>
      </c>
      <c r="C14" s="7" t="n">
        <v>107067</v>
      </c>
      <c r="D14" s="11" t="n">
        <f aca="false">'Used Vehicle'!$B$36</f>
        <v>30811.9944493151</v>
      </c>
      <c r="E14" s="7" t="n">
        <v>101930</v>
      </c>
      <c r="F14" s="7" t="n">
        <v>118982</v>
      </c>
      <c r="G14" s="7" t="n">
        <v>108022</v>
      </c>
      <c r="H14" s="7" t="n">
        <v>122533</v>
      </c>
      <c r="I14" s="7" t="n">
        <v>104626</v>
      </c>
      <c r="J14" s="7" t="n">
        <v>98413</v>
      </c>
      <c r="K14" s="7" t="n">
        <v>109951</v>
      </c>
      <c r="L14" s="7" t="n">
        <v>110157</v>
      </c>
      <c r="M14" s="7" t="n">
        <v>129209</v>
      </c>
    </row>
    <row r="15" customFormat="false" ht="15" hidden="false" customHeight="true" outlineLevel="0" collapsed="false">
      <c r="A15" s="6" t="s">
        <v>26</v>
      </c>
      <c r="B15" s="7" t="n">
        <v>80468</v>
      </c>
      <c r="C15" s="7" t="n">
        <v>83493</v>
      </c>
      <c r="D15" s="11" t="n">
        <f aca="false">'F&amp;I Detail'!$B$86</f>
        <v>40457</v>
      </c>
      <c r="E15" s="7" t="n">
        <v>78389</v>
      </c>
      <c r="F15" s="7" t="n">
        <v>84405</v>
      </c>
      <c r="G15" s="7" t="n">
        <v>83543</v>
      </c>
      <c r="H15" s="7" t="n">
        <v>87555</v>
      </c>
      <c r="I15" s="7" t="n">
        <v>94811</v>
      </c>
      <c r="J15" s="7" t="n">
        <v>80099</v>
      </c>
      <c r="K15" s="7" t="n">
        <v>87502</v>
      </c>
      <c r="L15" s="7" t="n">
        <v>87588</v>
      </c>
      <c r="M15" s="7" t="n">
        <v>95055</v>
      </c>
    </row>
    <row r="16" customFormat="false" ht="15" hidden="false" customHeight="true" outlineLevel="0" collapsed="false">
      <c r="A16" s="6" t="s">
        <v>27</v>
      </c>
      <c r="B16" s="7" t="n">
        <v>155040</v>
      </c>
      <c r="C16" s="7" t="n">
        <v>142754</v>
      </c>
      <c r="D16" s="11" t="n">
        <f aca="false">'Service &amp; Parts'!$B$175</f>
        <v>31642</v>
      </c>
      <c r="E16" s="7" t="n">
        <v>135306</v>
      </c>
      <c r="F16" s="7" t="n">
        <v>143774</v>
      </c>
      <c r="G16" s="7" t="n">
        <v>150067</v>
      </c>
      <c r="H16" s="7" t="n">
        <v>119674</v>
      </c>
      <c r="I16" s="7" t="n">
        <v>145087</v>
      </c>
      <c r="J16" s="7" t="n">
        <v>134117</v>
      </c>
      <c r="K16" s="7" t="n">
        <v>138541</v>
      </c>
      <c r="L16" s="7" t="n">
        <v>148345</v>
      </c>
      <c r="M16" s="7" t="n">
        <v>123923</v>
      </c>
    </row>
    <row r="18" customFormat="false" ht="15" hidden="false" customHeight="true" outlineLevel="0" collapsed="false">
      <c r="A18" s="9" t="s">
        <v>28</v>
      </c>
      <c r="B18" s="10" t="n">
        <f aca="false">SUM(B13:B16)</f>
        <v>490839</v>
      </c>
      <c r="C18" s="10" t="n">
        <f aca="false">SUM(C13:C16)</f>
        <v>487836</v>
      </c>
      <c r="D18" s="10" t="n">
        <f aca="false">SUM(D13:D16)</f>
        <v>183968.714449315</v>
      </c>
      <c r="E18" s="10" t="n">
        <f aca="false">SUM(E13:E16)</f>
        <v>454128</v>
      </c>
      <c r="F18" s="10" t="n">
        <f aca="false">SUM(F13:F16)</f>
        <v>511239</v>
      </c>
      <c r="G18" s="10" t="n">
        <f aca="false">SUM(G13:G16)</f>
        <v>469554</v>
      </c>
      <c r="H18" s="10" t="n">
        <f aca="false">SUM(H13:H16)</f>
        <v>484676</v>
      </c>
      <c r="I18" s="10" t="n">
        <f aca="false">SUM(I13:I16)</f>
        <v>482454</v>
      </c>
      <c r="J18" s="10" t="n">
        <f aca="false">SUM(J13:J16)</f>
        <v>473919</v>
      </c>
      <c r="K18" s="10" t="n">
        <f aca="false">SUM(K13:K16)</f>
        <v>481194</v>
      </c>
      <c r="L18" s="10" t="n">
        <f aca="false">SUM(L13:L16)</f>
        <v>489650</v>
      </c>
      <c r="M18" s="10" t="n">
        <f aca="false">SUM(M13:M16)</f>
        <v>493511</v>
      </c>
      <c r="O18" s="7" t="n">
        <v>510000</v>
      </c>
      <c r="P18" s="12" t="n">
        <f aca="false">D18-O18</f>
        <v>-326031.285550685</v>
      </c>
    </row>
    <row r="20" customFormat="false" ht="15" hidden="false" customHeight="true" outlineLevel="0" collapsed="false">
      <c r="A20" s="6" t="s">
        <v>29</v>
      </c>
      <c r="B20" s="7" t="n">
        <v>166496</v>
      </c>
      <c r="C20" s="7" t="n">
        <v>190041</v>
      </c>
      <c r="D20" s="7" t="n">
        <v>185128</v>
      </c>
      <c r="E20" s="7" t="n">
        <v>178219</v>
      </c>
      <c r="F20" s="7" t="n">
        <v>169235</v>
      </c>
      <c r="G20" s="7" t="n">
        <v>172396</v>
      </c>
      <c r="H20" s="7" t="n">
        <v>184180</v>
      </c>
      <c r="I20" s="7" t="n">
        <v>176029</v>
      </c>
      <c r="J20" s="7" t="n">
        <v>192944</v>
      </c>
      <c r="K20" s="7" t="n">
        <v>166532</v>
      </c>
      <c r="L20" s="7" t="n">
        <v>170019</v>
      </c>
      <c r="M20" s="7" t="n">
        <v>178557</v>
      </c>
    </row>
    <row r="21" customFormat="false" ht="15" hidden="false" customHeight="true" outlineLevel="0" collapsed="false">
      <c r="A21" s="6" t="s">
        <v>30</v>
      </c>
      <c r="B21" s="7" t="n">
        <v>53864</v>
      </c>
      <c r="C21" s="7" t="n">
        <v>54506</v>
      </c>
      <c r="D21" s="7" t="n">
        <v>51276</v>
      </c>
      <c r="E21" s="7" t="n">
        <v>51811</v>
      </c>
      <c r="F21" s="7" t="n">
        <v>53829</v>
      </c>
      <c r="G21" s="7" t="n">
        <v>53366</v>
      </c>
      <c r="H21" s="7" t="n">
        <v>53052</v>
      </c>
      <c r="I21" s="7" t="n">
        <v>59052</v>
      </c>
      <c r="J21" s="7" t="n">
        <v>50828</v>
      </c>
      <c r="K21" s="7" t="n">
        <v>52237</v>
      </c>
      <c r="L21" s="7" t="n">
        <v>55156</v>
      </c>
      <c r="M21" s="7" t="n">
        <v>58639</v>
      </c>
    </row>
    <row r="22" customFormat="false" ht="15" hidden="false" customHeight="true" outlineLevel="0" collapsed="false">
      <c r="A22" s="6" t="s">
        <v>31</v>
      </c>
      <c r="B22" s="7" t="n">
        <v>26287</v>
      </c>
      <c r="C22" s="7" t="n">
        <v>29231</v>
      </c>
      <c r="D22" s="7" t="n">
        <v>28914</v>
      </c>
      <c r="E22" s="7" t="n">
        <v>26721</v>
      </c>
      <c r="F22" s="7" t="n">
        <v>28501</v>
      </c>
      <c r="G22" s="7" t="n">
        <v>28869</v>
      </c>
      <c r="H22" s="7" t="n">
        <v>30233</v>
      </c>
      <c r="I22" s="7" t="n">
        <v>26656</v>
      </c>
      <c r="J22" s="7" t="n">
        <v>26368</v>
      </c>
      <c r="K22" s="7" t="n">
        <v>26091</v>
      </c>
      <c r="L22" s="7" t="n">
        <v>26533</v>
      </c>
      <c r="M22" s="7" t="n">
        <v>28955</v>
      </c>
    </row>
    <row r="23" customFormat="false" ht="15" hidden="false" customHeight="true" outlineLevel="0" collapsed="false">
      <c r="A23" s="6" t="s">
        <v>32</v>
      </c>
      <c r="B23" s="7" t="n">
        <v>23750</v>
      </c>
      <c r="C23" s="7" t="n">
        <v>23093</v>
      </c>
      <c r="D23" s="7" t="n">
        <v>23645</v>
      </c>
      <c r="E23" s="7" t="n">
        <v>23712</v>
      </c>
      <c r="F23" s="7" t="n">
        <v>22590</v>
      </c>
      <c r="G23" s="7" t="n">
        <v>22737</v>
      </c>
      <c r="H23" s="7" t="n">
        <v>22175</v>
      </c>
      <c r="I23" s="7" t="n">
        <v>21262</v>
      </c>
      <c r="J23" s="7" t="n">
        <v>21295</v>
      </c>
      <c r="K23" s="7" t="n">
        <v>20794</v>
      </c>
      <c r="L23" s="7" t="n">
        <v>22737</v>
      </c>
      <c r="M23" s="7" t="n">
        <v>22704</v>
      </c>
    </row>
    <row r="24" customFormat="false" ht="15" hidden="false" customHeight="true" outlineLevel="0" collapsed="false">
      <c r="A24" s="6" t="s">
        <v>33</v>
      </c>
      <c r="B24" s="7" t="n">
        <v>17061</v>
      </c>
      <c r="C24" s="7" t="n">
        <v>17601</v>
      </c>
      <c r="D24" s="7" t="n">
        <v>17205</v>
      </c>
      <c r="E24" s="7" t="n">
        <v>19397</v>
      </c>
      <c r="F24" s="7" t="n">
        <v>18841</v>
      </c>
      <c r="G24" s="7" t="n">
        <v>17241</v>
      </c>
      <c r="H24" s="7" t="n">
        <v>17982</v>
      </c>
      <c r="I24" s="7" t="n">
        <v>17599</v>
      </c>
      <c r="J24" s="7" t="n">
        <v>18208</v>
      </c>
      <c r="K24" s="7" t="n">
        <v>17906</v>
      </c>
      <c r="L24" s="7" t="n">
        <v>19391</v>
      </c>
      <c r="M24" s="7" t="n">
        <v>16933</v>
      </c>
    </row>
    <row r="25" customFormat="false" ht="15" hidden="false" customHeight="true" outlineLevel="0" collapsed="false">
      <c r="A25" s="9" t="s">
        <v>34</v>
      </c>
      <c r="B25" s="10" t="n">
        <f aca="false">SUM(B20:B24)</f>
        <v>287458</v>
      </c>
      <c r="C25" s="10" t="n">
        <f aca="false">SUM(C20:C24)</f>
        <v>314472</v>
      </c>
      <c r="D25" s="10" t="n">
        <f aca="false">SUM(D20:D24)</f>
        <v>306168</v>
      </c>
      <c r="E25" s="10" t="n">
        <f aca="false">SUM(E20:E24)</f>
        <v>299860</v>
      </c>
      <c r="F25" s="10" t="n">
        <f aca="false">SUM(F20:F24)</f>
        <v>292996</v>
      </c>
      <c r="G25" s="10" t="n">
        <f aca="false">SUM(G20:G24)</f>
        <v>294609</v>
      </c>
      <c r="H25" s="10" t="n">
        <f aca="false">SUM(H20:H24)</f>
        <v>307622</v>
      </c>
      <c r="I25" s="10" t="n">
        <f aca="false">SUM(I20:I24)</f>
        <v>300598</v>
      </c>
      <c r="J25" s="10" t="n">
        <f aca="false">SUM(J20:J24)</f>
        <v>309643</v>
      </c>
      <c r="K25" s="10" t="n">
        <f aca="false">SUM(K20:K24)</f>
        <v>283560</v>
      </c>
      <c r="L25" s="10" t="n">
        <f aca="false">SUM(L20:L24)</f>
        <v>293836</v>
      </c>
      <c r="M25" s="10" t="n">
        <f aca="false">SUM(M20:M24)</f>
        <v>305788</v>
      </c>
    </row>
    <row r="26" customFormat="false" ht="15" hidden="false" customHeight="true" outlineLevel="0" collapsed="false">
      <c r="A26" s="9" t="s">
        <v>35</v>
      </c>
      <c r="B26" s="10" t="n">
        <f aca="false">B18-B25</f>
        <v>203381</v>
      </c>
      <c r="C26" s="10" t="n">
        <f aca="false">C18-C25</f>
        <v>173364</v>
      </c>
      <c r="D26" s="10" t="n">
        <f aca="false">D18-D25</f>
        <v>-122199.285550685</v>
      </c>
      <c r="E26" s="10" t="n">
        <f aca="false">E18-E25</f>
        <v>154268</v>
      </c>
      <c r="F26" s="10" t="n">
        <f aca="false">F18-F25</f>
        <v>218243</v>
      </c>
      <c r="G26" s="10" t="n">
        <f aca="false">G18-G25</f>
        <v>174945</v>
      </c>
      <c r="H26" s="10" t="n">
        <f aca="false">H18-H25</f>
        <v>177054</v>
      </c>
      <c r="I26" s="10" t="n">
        <f aca="false">I18-I25</f>
        <v>181856</v>
      </c>
      <c r="J26" s="10" t="n">
        <f aca="false">J18-J25</f>
        <v>164276</v>
      </c>
      <c r="K26" s="10" t="n">
        <f aca="false">K18-K25</f>
        <v>197634</v>
      </c>
      <c r="L26" s="10" t="n">
        <f aca="false">L18-L25</f>
        <v>195814</v>
      </c>
      <c r="M26" s="10" t="n">
        <f aca="false">M18-M25</f>
        <v>187723</v>
      </c>
    </row>
    <row r="27" customFormat="false" ht="15" hidden="false" customHeight="true" outlineLevel="0" collapsed="false">
      <c r="A27" s="6" t="s">
        <v>36</v>
      </c>
      <c r="B27" s="8" t="n">
        <f aca="false">B24</f>
        <v>17061</v>
      </c>
      <c r="C27" s="8" t="n">
        <f aca="false">C24</f>
        <v>17601</v>
      </c>
      <c r="D27" s="8" t="n">
        <f aca="false">D24</f>
        <v>17205</v>
      </c>
      <c r="E27" s="8" t="n">
        <f aca="false">E24</f>
        <v>19397</v>
      </c>
      <c r="F27" s="8" t="n">
        <f aca="false">F24</f>
        <v>18841</v>
      </c>
      <c r="G27" s="8" t="n">
        <f aca="false">G24</f>
        <v>17241</v>
      </c>
      <c r="H27" s="8" t="n">
        <f aca="false">H24</f>
        <v>17982</v>
      </c>
      <c r="I27" s="8" t="n">
        <f aca="false">I24</f>
        <v>17599</v>
      </c>
      <c r="J27" s="8" t="n">
        <f aca="false">J24</f>
        <v>18208</v>
      </c>
      <c r="K27" s="8" t="n">
        <f aca="false">K24</f>
        <v>17906</v>
      </c>
      <c r="L27" s="8" t="n">
        <f aca="false">L24</f>
        <v>19391</v>
      </c>
      <c r="M27" s="8" t="n">
        <f aca="false">M24</f>
        <v>16933</v>
      </c>
    </row>
    <row r="28" customFormat="false" ht="15" hidden="false" customHeight="true" outlineLevel="0" collapsed="false">
      <c r="A28" s="6" t="s">
        <v>37</v>
      </c>
      <c r="B28" s="11" t="n">
        <f aca="false">OwnerCompAddback</f>
        <v>8000</v>
      </c>
      <c r="C28" s="11" t="n">
        <f aca="false">OwnerCompAddback</f>
        <v>8000</v>
      </c>
      <c r="D28" s="11" t="n">
        <f aca="false">OwnerCompAddback</f>
        <v>8000</v>
      </c>
      <c r="E28" s="11" t="n">
        <f aca="false">OwnerCompAddback</f>
        <v>8000</v>
      </c>
      <c r="F28" s="11" t="n">
        <f aca="false">OwnerCompAddback</f>
        <v>8000</v>
      </c>
      <c r="G28" s="11" t="n">
        <f aca="false">OwnerCompAddback</f>
        <v>8000</v>
      </c>
      <c r="H28" s="11" t="n">
        <f aca="false">OwnerCompAddback</f>
        <v>8000</v>
      </c>
      <c r="I28" s="11" t="n">
        <f aca="false">OwnerCompAddback</f>
        <v>8000</v>
      </c>
      <c r="J28" s="11" t="n">
        <f aca="false">OwnerCompAddback</f>
        <v>8000</v>
      </c>
      <c r="K28" s="11" t="n">
        <f aca="false">OwnerCompAddback</f>
        <v>8000</v>
      </c>
      <c r="L28" s="11" t="n">
        <f aca="false">OwnerCompAddback</f>
        <v>8000</v>
      </c>
      <c r="M28" s="11" t="n">
        <f aca="false">OwnerCompAddback</f>
        <v>8000</v>
      </c>
    </row>
    <row r="29" customFormat="false" ht="15" hidden="false" customHeight="true" outlineLevel="0" collapsed="false">
      <c r="A29" s="6" t="s">
        <v>38</v>
      </c>
      <c r="B29" s="11" t="n">
        <f aca="false">LegalCostAddback</f>
        <v>5000</v>
      </c>
      <c r="C29" s="11" t="n">
        <f aca="false">LegalCostAddback</f>
        <v>5000</v>
      </c>
      <c r="D29" s="11" t="n">
        <f aca="false">LegalCostAddback</f>
        <v>5000</v>
      </c>
      <c r="E29" s="11" t="n">
        <f aca="false">LegalCostAddback</f>
        <v>5000</v>
      </c>
      <c r="F29" s="11" t="n">
        <f aca="false">LegalCostAddback</f>
        <v>5000</v>
      </c>
      <c r="G29" s="11" t="n">
        <f aca="false">LegalCostAddback</f>
        <v>5000</v>
      </c>
      <c r="H29" s="11" t="n">
        <f aca="false">LegalCostAddback</f>
        <v>5000</v>
      </c>
      <c r="I29" s="11" t="n">
        <f aca="false">LegalCostAddback</f>
        <v>5000</v>
      </c>
      <c r="J29" s="11" t="n">
        <f aca="false">LegalCostAddback</f>
        <v>5000</v>
      </c>
      <c r="K29" s="11" t="n">
        <f aca="false">LegalCostAddback</f>
        <v>5000</v>
      </c>
      <c r="L29" s="11" t="n">
        <f aca="false">LegalCostAddback</f>
        <v>5000</v>
      </c>
      <c r="M29" s="11" t="n">
        <f aca="false">LegalCostAddback</f>
        <v>5000</v>
      </c>
    </row>
    <row r="30" customFormat="false" ht="15" hidden="false" customHeight="true" outlineLevel="0" collapsed="false">
      <c r="A30" s="6" t="s">
        <v>39</v>
      </c>
      <c r="B30" s="7" t="n">
        <v>2706</v>
      </c>
      <c r="C30" s="7" t="n">
        <v>2538</v>
      </c>
      <c r="D30" s="7" t="n">
        <v>4533</v>
      </c>
      <c r="E30" s="7" t="n">
        <v>5261</v>
      </c>
      <c r="F30" s="7" t="n">
        <v>7873</v>
      </c>
      <c r="G30" s="7" t="n">
        <v>7888</v>
      </c>
      <c r="H30" s="7" t="n">
        <v>5921</v>
      </c>
      <c r="I30" s="7" t="n">
        <v>6306</v>
      </c>
      <c r="J30" s="7" t="n">
        <v>5365</v>
      </c>
      <c r="K30" s="7" t="n">
        <v>5354</v>
      </c>
      <c r="L30" s="7" t="n">
        <v>6709</v>
      </c>
      <c r="M30" s="7" t="n">
        <v>2604</v>
      </c>
    </row>
    <row r="31" customFormat="false" ht="15" hidden="false" customHeight="true" outlineLevel="0" collapsed="false">
      <c r="A31" s="6" t="s">
        <v>40</v>
      </c>
      <c r="B31" s="7" t="n">
        <v>3026</v>
      </c>
      <c r="C31" s="7" t="n">
        <v>4597</v>
      </c>
      <c r="D31" s="7" t="n">
        <v>7262</v>
      </c>
      <c r="E31" s="7" t="n">
        <v>2607</v>
      </c>
      <c r="F31" s="7" t="n">
        <v>5686</v>
      </c>
      <c r="G31" s="7" t="n">
        <v>5816</v>
      </c>
      <c r="H31" s="7" t="n">
        <v>7571</v>
      </c>
      <c r="I31" s="7" t="n">
        <v>6238</v>
      </c>
      <c r="J31" s="7" t="n">
        <v>4822</v>
      </c>
      <c r="K31" s="7" t="n">
        <v>3051</v>
      </c>
      <c r="L31" s="7" t="n">
        <v>6516</v>
      </c>
      <c r="M31" s="7" t="n">
        <v>7241</v>
      </c>
    </row>
    <row r="32" customFormat="false" ht="15" hidden="false" customHeight="true" outlineLevel="0" collapsed="false">
      <c r="A32" s="13" t="s">
        <v>41</v>
      </c>
      <c r="B32" s="14" t="n">
        <f aca="false">B18-B25+B27+B28+B29+B31</f>
        <v>236468</v>
      </c>
      <c r="C32" s="14" t="n">
        <f aca="false">C18-C25+C27+C28+C29+C31</f>
        <v>208562</v>
      </c>
      <c r="D32" s="14" t="n">
        <f aca="false">D18-D25+D27+D28+D29+D31</f>
        <v>-84732.2855506849</v>
      </c>
      <c r="E32" s="14" t="n">
        <f aca="false">E18-E25+E27+E28+E29+E31</f>
        <v>189272</v>
      </c>
      <c r="F32" s="14" t="n">
        <f aca="false">F18-F25+F27+F28+F29+F31</f>
        <v>255770</v>
      </c>
      <c r="G32" s="14" t="n">
        <f aca="false">G18-G25+G27+G28+G29+G31</f>
        <v>211002</v>
      </c>
      <c r="H32" s="14" t="n">
        <f aca="false">H18-H25+H27+H28+H29+H31</f>
        <v>215607</v>
      </c>
      <c r="I32" s="14" t="n">
        <f aca="false">I18-I25+I27+I28+I29+I31</f>
        <v>218693</v>
      </c>
      <c r="J32" s="14" t="n">
        <f aca="false">J18-J25+J27+J28+J29+J31</f>
        <v>200306</v>
      </c>
      <c r="K32" s="14" t="n">
        <f aca="false">K18-K25+K27+K28+K29+K31</f>
        <v>231591</v>
      </c>
      <c r="L32" s="14" t="n">
        <f aca="false">L18-L25+L27+L28+L29+L31</f>
        <v>234721</v>
      </c>
      <c r="M32" s="14" t="n">
        <f aca="false">M18-M25+M27+M28+M29+M31</f>
        <v>224897</v>
      </c>
      <c r="O32" s="7" t="n">
        <v>155000</v>
      </c>
      <c r="P32" s="12" t="n">
        <f aca="false">D32-O32</f>
        <v>-239732.285550685</v>
      </c>
    </row>
  </sheetData>
  <mergeCells count="1">
    <mergeCell ref="A1:P1"/>
  </mergeCells>
  <conditionalFormatting sqref="P18">
    <cfRule type="cellIs" priority="2" operator="lessThan" aboveAverage="0" equalAverage="0" bottom="0" percent="0" rank="0" text="" dxfId="0">
      <formula>-0.1*O18</formula>
    </cfRule>
  </conditionalFormatting>
  <conditionalFormatting sqref="P32">
    <cfRule type="cellIs" priority="3" operator="lessThan" aboveAverage="0" equalAverage="0" bottom="0" percent="0" rank="0" text="" dxfId="0">
      <formula>-0.1*O32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18"/>
    <col collapsed="false" customWidth="true" hidden="false" outlineLevel="0" max="3" min="3" style="1" width="16"/>
    <col collapsed="false" customWidth="true" hidden="false" outlineLevel="0" max="4" min="4" style="1" width="45"/>
  </cols>
  <sheetData>
    <row r="1" customFormat="false" ht="15" hidden="false" customHeight="true" outlineLevel="0" collapsed="false">
      <c r="A1" s="15" t="s">
        <v>42</v>
      </c>
      <c r="B1" s="15" t="s">
        <v>43</v>
      </c>
      <c r="C1" s="15" t="s">
        <v>44</v>
      </c>
      <c r="D1" s="15" t="s">
        <v>45</v>
      </c>
    </row>
    <row r="2" customFormat="false" ht="15" hidden="false" customHeight="true" outlineLevel="0" collapsed="false">
      <c r="A2" s="1" t="s">
        <v>46</v>
      </c>
      <c r="B2" s="16" t="n">
        <v>0.058</v>
      </c>
      <c r="C2" s="1" t="s">
        <v>47</v>
      </c>
      <c r="D2" s="1" t="s">
        <v>48</v>
      </c>
    </row>
    <row r="3" customFormat="false" ht="15" hidden="false" customHeight="true" outlineLevel="0" collapsed="false">
      <c r="A3" s="1" t="s">
        <v>49</v>
      </c>
      <c r="B3" s="16" t="n">
        <v>0.21</v>
      </c>
      <c r="C3" s="1" t="s">
        <v>50</v>
      </c>
      <c r="D3" s="1" t="s">
        <v>51</v>
      </c>
    </row>
    <row r="4" customFormat="false" ht="15" hidden="false" customHeight="true" outlineLevel="0" collapsed="false">
      <c r="A4" s="1" t="s">
        <v>52</v>
      </c>
      <c r="B4" s="1" t="s">
        <v>53</v>
      </c>
      <c r="C4" s="1" t="s">
        <v>54</v>
      </c>
      <c r="D4" s="1" t="s">
        <v>55</v>
      </c>
    </row>
    <row r="5" customFormat="false" ht="15" hidden="false" customHeight="true" outlineLevel="0" collapsed="false">
      <c r="A5" s="1" t="s">
        <v>56</v>
      </c>
      <c r="B5" s="17" t="n">
        <v>1600</v>
      </c>
      <c r="C5" s="1" t="s">
        <v>57</v>
      </c>
      <c r="D5" s="1" t="s">
        <v>58</v>
      </c>
    </row>
    <row r="6" customFormat="false" ht="15" hidden="false" customHeight="true" outlineLevel="0" collapsed="false">
      <c r="A6" s="1" t="s">
        <v>59</v>
      </c>
      <c r="B6" s="1" t="n">
        <v>0.8</v>
      </c>
      <c r="C6" s="1" t="s">
        <v>60</v>
      </c>
      <c r="D6" s="1" t="s">
        <v>61</v>
      </c>
    </row>
    <row r="7" customFormat="false" ht="15" hidden="false" customHeight="true" outlineLevel="0" collapsed="false">
      <c r="A7" s="1" t="s">
        <v>62</v>
      </c>
      <c r="B7" s="16" t="n">
        <v>0.021</v>
      </c>
      <c r="C7" s="1" t="s">
        <v>63</v>
      </c>
      <c r="D7" s="1" t="s">
        <v>64</v>
      </c>
    </row>
    <row r="8" customFormat="false" ht="15" hidden="false" customHeight="true" outlineLevel="0" collapsed="false">
      <c r="A8" s="1" t="s">
        <v>65</v>
      </c>
      <c r="B8" s="16" t="n">
        <v>0.018</v>
      </c>
      <c r="C8" s="1" t="s">
        <v>63</v>
      </c>
      <c r="D8" s="1" t="s">
        <v>66</v>
      </c>
    </row>
    <row r="9" customFormat="false" ht="15" hidden="false" customHeight="true" outlineLevel="0" collapsed="false">
      <c r="A9" s="1" t="s">
        <v>67</v>
      </c>
      <c r="B9" s="16" t="n">
        <v>0.025</v>
      </c>
      <c r="C9" s="1" t="s">
        <v>63</v>
      </c>
      <c r="D9" s="1" t="s">
        <v>68</v>
      </c>
    </row>
    <row r="10" customFormat="false" ht="15" hidden="false" customHeight="true" outlineLevel="0" collapsed="false">
      <c r="A10" s="1" t="s">
        <v>69</v>
      </c>
      <c r="B10" s="17" t="n">
        <v>320000</v>
      </c>
      <c r="C10" s="1" t="s">
        <v>70</v>
      </c>
      <c r="D10" s="1" t="s">
        <v>71</v>
      </c>
    </row>
    <row r="11" customFormat="false" ht="15" hidden="false" customHeight="true" outlineLevel="0" collapsed="false">
      <c r="A11" s="1" t="s">
        <v>72</v>
      </c>
      <c r="B11" s="17" t="n">
        <v>8000</v>
      </c>
      <c r="C11" s="1" t="s">
        <v>73</v>
      </c>
      <c r="D11" s="1" t="s">
        <v>74</v>
      </c>
    </row>
    <row r="12" customFormat="false" ht="15" hidden="false" customHeight="true" outlineLevel="0" collapsed="false">
      <c r="A12" s="1" t="s">
        <v>75</v>
      </c>
      <c r="B12" s="17" t="n">
        <v>5000</v>
      </c>
      <c r="C12" s="1" t="s">
        <v>76</v>
      </c>
      <c r="D12" s="1" t="s">
        <v>77</v>
      </c>
    </row>
    <row r="15" customFormat="false" ht="15" hidden="true" customHeight="true" outlineLevel="0" collapsed="false">
      <c r="A15" s="18" t="s">
        <v>78</v>
      </c>
      <c r="B15" s="19" t="n">
        <v>0.048</v>
      </c>
      <c r="C15" s="1" t="s">
        <v>79</v>
      </c>
      <c r="D15" s="1" t="s">
        <v>80</v>
      </c>
    </row>
    <row r="16" customFormat="false" ht="15" hidden="true" customHeight="true" outlineLevel="0" collapsed="false">
      <c r="A16" s="18" t="s">
        <v>81</v>
      </c>
      <c r="B16" s="19" t="n">
        <v>0.25</v>
      </c>
      <c r="C16" s="1" t="s">
        <v>82</v>
      </c>
      <c r="D16" s="1" t="s">
        <v>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3" min="3" style="1" width="20"/>
    <col collapsed="false" customWidth="true" hidden="false" outlineLevel="0" max="4" min="4" style="1" width="12"/>
    <col collapsed="false" customWidth="true" hidden="false" outlineLevel="0" max="5" min="5" style="1" width="10"/>
  </cols>
  <sheetData>
    <row r="1" customFormat="false" ht="15" hidden="false" customHeight="true" outlineLevel="0" collapsed="false">
      <c r="A1" s="5" t="s">
        <v>84</v>
      </c>
      <c r="B1" s="5" t="s">
        <v>85</v>
      </c>
      <c r="C1" s="5" t="s">
        <v>86</v>
      </c>
      <c r="D1" s="5" t="s">
        <v>87</v>
      </c>
      <c r="E1" s="5" t="s">
        <v>88</v>
      </c>
      <c r="F1" s="5" t="s">
        <v>89</v>
      </c>
      <c r="G1" s="5" t="s">
        <v>90</v>
      </c>
      <c r="H1" s="5" t="s">
        <v>91</v>
      </c>
      <c r="I1" s="5" t="s">
        <v>92</v>
      </c>
      <c r="J1" s="5" t="s">
        <v>93</v>
      </c>
      <c r="K1" s="5" t="s">
        <v>94</v>
      </c>
      <c r="L1" s="5" t="s">
        <v>95</v>
      </c>
    </row>
    <row r="2" customFormat="false" ht="15" hidden="false" customHeight="true" outlineLevel="0" collapsed="false">
      <c r="A2" s="1" t="n">
        <v>1001</v>
      </c>
      <c r="B2" s="1" t="s">
        <v>96</v>
      </c>
      <c r="C2" s="1" t="s">
        <v>97</v>
      </c>
      <c r="D2" s="1" t="s">
        <v>98</v>
      </c>
      <c r="E2" s="1" t="s">
        <v>62</v>
      </c>
      <c r="F2" s="17" t="n">
        <v>29639</v>
      </c>
      <c r="G2" s="17" t="n">
        <v>27401</v>
      </c>
      <c r="H2" s="17" t="n">
        <v>548</v>
      </c>
      <c r="I2" s="11" t="n">
        <f aca="false">F2*VLOOKUP(E2,Assumptions!$A$7:$B$9,2,FALSE())</f>
        <v>622.419</v>
      </c>
      <c r="J2" s="8" t="n">
        <f aca="false">F2-G2+H2+I2</f>
        <v>3408.419</v>
      </c>
      <c r="K2" s="17" t="n">
        <v>1301</v>
      </c>
      <c r="L2" s="1" t="s">
        <v>2</v>
      </c>
    </row>
    <row r="3" customFormat="false" ht="15" hidden="false" customHeight="true" outlineLevel="0" collapsed="false">
      <c r="A3" s="1" t="n">
        <v>1002</v>
      </c>
      <c r="B3" s="1" t="s">
        <v>99</v>
      </c>
      <c r="C3" s="1" t="s">
        <v>100</v>
      </c>
      <c r="D3" s="1" t="s">
        <v>101</v>
      </c>
      <c r="E3" s="1" t="s">
        <v>65</v>
      </c>
      <c r="F3" s="17" t="n">
        <v>34717</v>
      </c>
      <c r="G3" s="17" t="n">
        <v>31960</v>
      </c>
      <c r="H3" s="17" t="n">
        <v>639</v>
      </c>
      <c r="I3" s="11" t="n">
        <f aca="false">F3*VLOOKUP(E3,Assumptions!$A$7:$B$9,2,FALSE())</f>
        <v>624.906</v>
      </c>
      <c r="J3" s="8" t="n">
        <f aca="false">F3-G3+H3+I3</f>
        <v>4020.906</v>
      </c>
      <c r="K3" s="17" t="n">
        <v>2627</v>
      </c>
      <c r="L3" s="1" t="s">
        <v>2</v>
      </c>
    </row>
    <row r="4" customFormat="false" ht="15" hidden="false" customHeight="true" outlineLevel="0" collapsed="false">
      <c r="A4" s="1" t="n">
        <v>1003</v>
      </c>
      <c r="B4" s="1" t="s">
        <v>102</v>
      </c>
      <c r="C4" s="1" t="s">
        <v>103</v>
      </c>
      <c r="D4" s="1" t="s">
        <v>104</v>
      </c>
      <c r="E4" s="1" t="s">
        <v>62</v>
      </c>
      <c r="F4" s="17" t="n">
        <v>55651</v>
      </c>
      <c r="G4" s="17" t="n">
        <v>49079</v>
      </c>
      <c r="H4" s="17" t="n">
        <v>981</v>
      </c>
      <c r="I4" s="11" t="n">
        <f aca="false">F4*VLOOKUP(E4,Assumptions!$A$7:$B$9,2,FALSE())</f>
        <v>1168.671</v>
      </c>
      <c r="J4" s="8" t="n">
        <f aca="false">F4-G4+H4+I4</f>
        <v>8721.671</v>
      </c>
      <c r="K4" s="17" t="n">
        <v>991</v>
      </c>
      <c r="L4" s="1" t="s">
        <v>2</v>
      </c>
    </row>
    <row r="5" customFormat="false" ht="15" hidden="false" customHeight="true" outlineLevel="0" collapsed="false">
      <c r="A5" s="1" t="n">
        <v>1004</v>
      </c>
      <c r="B5" s="1" t="s">
        <v>105</v>
      </c>
      <c r="C5" s="1" t="s">
        <v>106</v>
      </c>
      <c r="D5" s="1" t="s">
        <v>104</v>
      </c>
      <c r="E5" s="1" t="s">
        <v>65</v>
      </c>
      <c r="F5" s="17" t="n">
        <v>61118</v>
      </c>
      <c r="G5" s="17" t="n">
        <v>55991</v>
      </c>
      <c r="H5" s="17" t="n">
        <v>1119</v>
      </c>
      <c r="I5" s="11" t="n">
        <f aca="false">F5*VLOOKUP(E5,Assumptions!$A$7:$B$9,2,FALSE())</f>
        <v>1100.124</v>
      </c>
      <c r="J5" s="8" t="n">
        <f aca="false">F5-G5+H5+I5</f>
        <v>7346.124</v>
      </c>
      <c r="K5" s="17" t="n">
        <v>1949</v>
      </c>
      <c r="L5" s="1" t="s">
        <v>2</v>
      </c>
    </row>
    <row r="6" customFormat="false" ht="15" hidden="false" customHeight="true" outlineLevel="0" collapsed="false">
      <c r="A6" s="1" t="n">
        <v>1005</v>
      </c>
      <c r="B6" s="1" t="s">
        <v>107</v>
      </c>
      <c r="C6" s="1" t="s">
        <v>108</v>
      </c>
      <c r="D6" s="1" t="s">
        <v>109</v>
      </c>
      <c r="E6" s="1" t="s">
        <v>65</v>
      </c>
      <c r="F6" s="17" t="n">
        <v>55493</v>
      </c>
      <c r="G6" s="17" t="n">
        <v>49567</v>
      </c>
      <c r="H6" s="17" t="n">
        <v>991</v>
      </c>
      <c r="I6" s="11" t="n">
        <f aca="false">F6*VLOOKUP(E6,Assumptions!$A$7:$B$9,2,FALSE())</f>
        <v>998.874</v>
      </c>
      <c r="J6" s="8" t="n">
        <f aca="false">F6-G6+H6+I6</f>
        <v>7915.874</v>
      </c>
      <c r="K6" s="17" t="n">
        <v>2006</v>
      </c>
      <c r="L6" s="1" t="s">
        <v>2</v>
      </c>
    </row>
    <row r="7" customFormat="false" ht="15" hidden="false" customHeight="true" outlineLevel="0" collapsed="false">
      <c r="A7" s="1" t="n">
        <v>1006</v>
      </c>
      <c r="B7" s="1" t="s">
        <v>110</v>
      </c>
      <c r="C7" s="1" t="s">
        <v>111</v>
      </c>
      <c r="D7" s="1" t="s">
        <v>109</v>
      </c>
      <c r="E7" s="1" t="s">
        <v>62</v>
      </c>
      <c r="F7" s="17" t="n">
        <v>38463</v>
      </c>
      <c r="G7" s="17" t="n">
        <v>35458</v>
      </c>
      <c r="H7" s="17" t="n">
        <v>709</v>
      </c>
      <c r="I7" s="11" t="n">
        <f aca="false">F7*VLOOKUP(E7,Assumptions!$A$7:$B$9,2,FALSE())</f>
        <v>807.723</v>
      </c>
      <c r="J7" s="8" t="n">
        <f aca="false">F7-G7+H7+I7</f>
        <v>4521.723</v>
      </c>
      <c r="K7" s="17" t="n">
        <v>1496</v>
      </c>
      <c r="L7" s="1" t="s">
        <v>2</v>
      </c>
    </row>
    <row r="8" customFormat="false" ht="15" hidden="false" customHeight="true" outlineLevel="0" collapsed="false">
      <c r="A8" s="1" t="n">
        <v>1007</v>
      </c>
      <c r="B8" s="1" t="s">
        <v>112</v>
      </c>
      <c r="C8" s="1" t="s">
        <v>113</v>
      </c>
      <c r="D8" s="1" t="s">
        <v>114</v>
      </c>
      <c r="E8" s="1" t="s">
        <v>65</v>
      </c>
      <c r="F8" s="17" t="n">
        <v>42110</v>
      </c>
      <c r="G8" s="17" t="n">
        <v>39475</v>
      </c>
      <c r="H8" s="17" t="n">
        <v>789</v>
      </c>
      <c r="I8" s="11" t="n">
        <f aca="false">F8*VLOOKUP(E8,Assumptions!$A$7:$B$9,2,FALSE())</f>
        <v>757.98</v>
      </c>
      <c r="J8" s="8" t="n">
        <f aca="false">F8-G8+H8+I8</f>
        <v>4181.98</v>
      </c>
      <c r="K8" s="17" t="n">
        <v>1489</v>
      </c>
      <c r="L8" s="1" t="s">
        <v>2</v>
      </c>
    </row>
    <row r="9" customFormat="false" ht="15" hidden="false" customHeight="true" outlineLevel="0" collapsed="false">
      <c r="A9" s="1" t="n">
        <v>1008</v>
      </c>
      <c r="B9" s="1" t="s">
        <v>115</v>
      </c>
      <c r="C9" s="1" t="s">
        <v>116</v>
      </c>
      <c r="D9" s="1" t="s">
        <v>117</v>
      </c>
      <c r="E9" s="1" t="s">
        <v>62</v>
      </c>
      <c r="F9" s="17" t="n">
        <v>52898</v>
      </c>
      <c r="G9" s="17" t="n">
        <v>46857</v>
      </c>
      <c r="H9" s="17" t="n">
        <v>937</v>
      </c>
      <c r="I9" s="11" t="n">
        <f aca="false">F9*VLOOKUP(E9,Assumptions!$A$7:$B$9,2,FALSE())</f>
        <v>1110.858</v>
      </c>
      <c r="J9" s="8" t="n">
        <f aca="false">F9-G9+H9+I9</f>
        <v>8088.858</v>
      </c>
      <c r="K9" s="17" t="n">
        <v>2535</v>
      </c>
      <c r="L9" s="1" t="s">
        <v>2</v>
      </c>
    </row>
    <row r="10" customFormat="false" ht="15" hidden="false" customHeight="true" outlineLevel="0" collapsed="false">
      <c r="A10" s="1" t="n">
        <v>1009</v>
      </c>
      <c r="B10" s="1" t="s">
        <v>118</v>
      </c>
      <c r="C10" s="1" t="s">
        <v>119</v>
      </c>
      <c r="D10" s="1" t="s">
        <v>120</v>
      </c>
      <c r="E10" s="1" t="s">
        <v>65</v>
      </c>
      <c r="F10" s="17" t="n">
        <v>45335</v>
      </c>
      <c r="G10" s="17" t="n">
        <v>42090</v>
      </c>
      <c r="H10" s="17" t="n">
        <v>841</v>
      </c>
      <c r="I10" s="11" t="n">
        <f aca="false">F10*VLOOKUP(E10,Assumptions!$A$7:$B$9,2,FALSE())</f>
        <v>816.03</v>
      </c>
      <c r="J10" s="8" t="n">
        <f aca="false">F10-G10+H10+I10</f>
        <v>4902.03</v>
      </c>
      <c r="K10" s="17" t="n">
        <v>2294</v>
      </c>
      <c r="L10" s="1" t="s">
        <v>2</v>
      </c>
    </row>
    <row r="11" customFormat="false" ht="15" hidden="false" customHeight="true" outlineLevel="0" collapsed="false">
      <c r="A11" s="1" t="n">
        <v>1010</v>
      </c>
      <c r="B11" s="1" t="s">
        <v>121</v>
      </c>
      <c r="C11" s="1" t="s">
        <v>122</v>
      </c>
      <c r="D11" s="1" t="s">
        <v>123</v>
      </c>
      <c r="E11" s="1" t="s">
        <v>65</v>
      </c>
      <c r="F11" s="17" t="n">
        <v>36180</v>
      </c>
      <c r="G11" s="17" t="n">
        <v>33950</v>
      </c>
      <c r="H11" s="17" t="n">
        <v>679</v>
      </c>
      <c r="I11" s="11" t="n">
        <f aca="false">F11*VLOOKUP(E11,Assumptions!$A$7:$B$9,2,FALSE())</f>
        <v>651.24</v>
      </c>
      <c r="J11" s="8" t="n">
        <f aca="false">F11-G11+H11+I11</f>
        <v>3560.24</v>
      </c>
      <c r="K11" s="17" t="n">
        <v>1575</v>
      </c>
      <c r="L11" s="1" t="s">
        <v>2</v>
      </c>
    </row>
    <row r="12" customFormat="false" ht="15" hidden="false" customHeight="true" outlineLevel="0" collapsed="false">
      <c r="A12" s="1" t="n">
        <v>1011</v>
      </c>
      <c r="B12" s="1" t="s">
        <v>124</v>
      </c>
      <c r="C12" s="1" t="s">
        <v>125</v>
      </c>
      <c r="D12" s="1" t="s">
        <v>126</v>
      </c>
      <c r="E12" s="1" t="s">
        <v>65</v>
      </c>
      <c r="F12" s="17" t="n">
        <v>47213</v>
      </c>
      <c r="G12" s="17" t="n">
        <v>43896</v>
      </c>
      <c r="H12" s="17" t="n">
        <v>877</v>
      </c>
      <c r="I12" s="11" t="n">
        <f aca="false">F12*VLOOKUP(E12,Assumptions!$A$7:$B$9,2,FALSE())</f>
        <v>849.834</v>
      </c>
      <c r="J12" s="8" t="n">
        <f aca="false">F12-G12+H12+I12</f>
        <v>5043.834</v>
      </c>
      <c r="K12" s="17" t="n">
        <v>2066</v>
      </c>
      <c r="L12" s="1" t="s">
        <v>2</v>
      </c>
    </row>
    <row r="13" customFormat="false" ht="15" hidden="false" customHeight="true" outlineLevel="0" collapsed="false">
      <c r="A13" s="1" t="n">
        <v>1012</v>
      </c>
      <c r="B13" s="1" t="s">
        <v>127</v>
      </c>
      <c r="C13" s="1" t="s">
        <v>128</v>
      </c>
      <c r="D13" s="1" t="s">
        <v>129</v>
      </c>
      <c r="E13" s="1" t="s">
        <v>67</v>
      </c>
      <c r="F13" s="17" t="n">
        <v>40601</v>
      </c>
      <c r="G13" s="17" t="n">
        <v>37445</v>
      </c>
      <c r="H13" s="17" t="n">
        <v>748</v>
      </c>
      <c r="I13" s="11" t="n">
        <f aca="false">F13*VLOOKUP(E13,Assumptions!$A$7:$B$9,2,FALSE())</f>
        <v>1015.025</v>
      </c>
      <c r="J13" s="8" t="n">
        <f aca="false">F13-G13+H13+I13</f>
        <v>4919.025</v>
      </c>
      <c r="K13" s="17" t="n">
        <v>893</v>
      </c>
      <c r="L13" s="1" t="s">
        <v>2</v>
      </c>
    </row>
    <row r="14" customFormat="false" ht="15" hidden="false" customHeight="true" outlineLevel="0" collapsed="false">
      <c r="A14" s="1" t="n">
        <v>1013</v>
      </c>
      <c r="B14" s="1" t="s">
        <v>130</v>
      </c>
      <c r="C14" s="1" t="s">
        <v>131</v>
      </c>
      <c r="D14" s="1" t="s">
        <v>98</v>
      </c>
      <c r="E14" s="1" t="s">
        <v>65</v>
      </c>
      <c r="F14" s="17" t="n">
        <v>46965</v>
      </c>
      <c r="G14" s="17" t="n">
        <v>44105</v>
      </c>
      <c r="H14" s="17" t="n">
        <v>882</v>
      </c>
      <c r="I14" s="11" t="n">
        <f aca="false">F14*VLOOKUP(E14,Assumptions!$A$7:$B$9,2,FALSE())</f>
        <v>845.37</v>
      </c>
      <c r="J14" s="8" t="n">
        <f aca="false">F14-G14+H14+I14</f>
        <v>4587.37</v>
      </c>
      <c r="K14" s="17" t="n">
        <v>2551</v>
      </c>
      <c r="L14" s="1" t="s">
        <v>2</v>
      </c>
    </row>
    <row r="15" customFormat="false" ht="15" hidden="false" customHeight="true" outlineLevel="0" collapsed="false">
      <c r="A15" s="1" t="n">
        <v>1014</v>
      </c>
      <c r="B15" s="1" t="s">
        <v>132</v>
      </c>
      <c r="C15" s="1" t="s">
        <v>133</v>
      </c>
      <c r="D15" s="1" t="s">
        <v>134</v>
      </c>
      <c r="E15" s="1" t="s">
        <v>62</v>
      </c>
      <c r="F15" s="17" t="n">
        <v>52911</v>
      </c>
      <c r="G15" s="17" t="n">
        <v>47444</v>
      </c>
      <c r="H15" s="17" t="n">
        <v>948</v>
      </c>
      <c r="I15" s="11" t="n">
        <f aca="false">F15*VLOOKUP(E15,Assumptions!$A$7:$B$9,2,FALSE())</f>
        <v>1111.131</v>
      </c>
      <c r="J15" s="8" t="n">
        <f aca="false">F15-G15+H15+I15</f>
        <v>7526.131</v>
      </c>
      <c r="K15" s="17" t="n">
        <v>2101</v>
      </c>
      <c r="L15" s="1" t="s">
        <v>3</v>
      </c>
    </row>
    <row r="16" customFormat="false" ht="15" hidden="false" customHeight="true" outlineLevel="0" collapsed="false">
      <c r="A16" s="1" t="n">
        <v>1015</v>
      </c>
      <c r="B16" s="1" t="s">
        <v>135</v>
      </c>
      <c r="C16" s="1" t="s">
        <v>136</v>
      </c>
      <c r="D16" s="1" t="s">
        <v>137</v>
      </c>
      <c r="E16" s="1" t="s">
        <v>67</v>
      </c>
      <c r="F16" s="17" t="n">
        <v>38659</v>
      </c>
      <c r="G16" s="17" t="n">
        <v>34878</v>
      </c>
      <c r="H16" s="17" t="n">
        <v>697</v>
      </c>
      <c r="I16" s="11" t="n">
        <f aca="false">F16*VLOOKUP(E16,Assumptions!$A$7:$B$9,2,FALSE())</f>
        <v>966.475</v>
      </c>
      <c r="J16" s="8" t="n">
        <f aca="false">F16-G16+H16+I16</f>
        <v>5444.475</v>
      </c>
      <c r="K16" s="17" t="n">
        <v>1229</v>
      </c>
      <c r="L16" s="1" t="s">
        <v>3</v>
      </c>
    </row>
    <row r="17" customFormat="false" ht="15" hidden="false" customHeight="true" outlineLevel="0" collapsed="false">
      <c r="A17" s="1" t="n">
        <v>1016</v>
      </c>
      <c r="B17" s="1" t="s">
        <v>138</v>
      </c>
      <c r="C17" s="1" t="s">
        <v>139</v>
      </c>
      <c r="D17" s="1" t="s">
        <v>140</v>
      </c>
      <c r="E17" s="1" t="s">
        <v>67</v>
      </c>
      <c r="F17" s="17" t="n">
        <v>32679</v>
      </c>
      <c r="G17" s="17" t="n">
        <v>29951</v>
      </c>
      <c r="H17" s="17" t="n">
        <v>599</v>
      </c>
      <c r="I17" s="11" t="n">
        <f aca="false">F17*VLOOKUP(E17,Assumptions!$A$7:$B$9,2,FALSE())</f>
        <v>816.975</v>
      </c>
      <c r="J17" s="8" t="n">
        <f aca="false">F17-G17+H17+I17</f>
        <v>4143.975</v>
      </c>
      <c r="K17" s="17" t="n">
        <v>1150</v>
      </c>
      <c r="L17" s="1" t="s">
        <v>3</v>
      </c>
    </row>
    <row r="18" customFormat="false" ht="15" hidden="false" customHeight="true" outlineLevel="0" collapsed="false">
      <c r="A18" s="1" t="n">
        <v>1017</v>
      </c>
      <c r="B18" s="1" t="s">
        <v>141</v>
      </c>
      <c r="C18" s="1" t="s">
        <v>142</v>
      </c>
      <c r="D18" s="1" t="s">
        <v>143</v>
      </c>
      <c r="E18" s="1" t="s">
        <v>65</v>
      </c>
      <c r="F18" s="17" t="n">
        <v>38708</v>
      </c>
      <c r="G18" s="17" t="n">
        <v>35136</v>
      </c>
      <c r="H18" s="17" t="n">
        <v>702</v>
      </c>
      <c r="I18" s="11" t="n">
        <f aca="false">F18*VLOOKUP(E18,Assumptions!$A$7:$B$9,2,FALSE())</f>
        <v>696.744</v>
      </c>
      <c r="J18" s="8" t="n">
        <f aca="false">F18-G18+H18+I18</f>
        <v>4970.744</v>
      </c>
      <c r="K18" s="17" t="n">
        <v>1352</v>
      </c>
      <c r="L18" s="1" t="s">
        <v>3</v>
      </c>
    </row>
    <row r="19" customFormat="false" ht="15" hidden="false" customHeight="true" outlineLevel="0" collapsed="false">
      <c r="A19" s="1" t="n">
        <v>1018</v>
      </c>
      <c r="B19" s="1" t="s">
        <v>144</v>
      </c>
      <c r="C19" s="1" t="s">
        <v>145</v>
      </c>
      <c r="D19" s="1" t="s">
        <v>146</v>
      </c>
      <c r="E19" s="1" t="s">
        <v>65</v>
      </c>
      <c r="F19" s="17" t="n">
        <v>42392</v>
      </c>
      <c r="G19" s="17" t="n">
        <v>39046</v>
      </c>
      <c r="H19" s="17" t="n">
        <v>780</v>
      </c>
      <c r="I19" s="11" t="n">
        <f aca="false">F19*VLOOKUP(E19,Assumptions!$A$7:$B$9,2,FALSE())</f>
        <v>763.056</v>
      </c>
      <c r="J19" s="8" t="n">
        <f aca="false">F19-G19+H19+I19</f>
        <v>4889.056</v>
      </c>
      <c r="K19" s="17" t="n">
        <v>2526</v>
      </c>
      <c r="L19" s="1" t="s">
        <v>3</v>
      </c>
    </row>
    <row r="20" customFormat="false" ht="15" hidden="false" customHeight="true" outlineLevel="0" collapsed="false">
      <c r="A20" s="1" t="n">
        <v>1019</v>
      </c>
      <c r="B20" s="1" t="s">
        <v>147</v>
      </c>
      <c r="C20" s="1" t="s">
        <v>148</v>
      </c>
      <c r="D20" s="1" t="s">
        <v>149</v>
      </c>
      <c r="E20" s="1" t="s">
        <v>62</v>
      </c>
      <c r="F20" s="17" t="n">
        <v>43010</v>
      </c>
      <c r="G20" s="17" t="n">
        <v>39969</v>
      </c>
      <c r="H20" s="17" t="n">
        <v>799</v>
      </c>
      <c r="I20" s="11" t="n">
        <f aca="false">F20*VLOOKUP(E20,Assumptions!$A$7:$B$9,2,FALSE())</f>
        <v>903.21</v>
      </c>
      <c r="J20" s="8" t="n">
        <f aca="false">F20-G20+H20+I20</f>
        <v>4743.21</v>
      </c>
      <c r="K20" s="17" t="n">
        <v>2448</v>
      </c>
      <c r="L20" s="1" t="s">
        <v>3</v>
      </c>
    </row>
    <row r="21" customFormat="false" ht="15" hidden="false" customHeight="true" outlineLevel="0" collapsed="false">
      <c r="A21" s="1" t="n">
        <v>1020</v>
      </c>
      <c r="B21" s="1" t="s">
        <v>150</v>
      </c>
      <c r="C21" s="1" t="s">
        <v>151</v>
      </c>
      <c r="D21" s="1" t="s">
        <v>152</v>
      </c>
      <c r="E21" s="1" t="s">
        <v>62</v>
      </c>
      <c r="F21" s="17" t="n">
        <v>45546</v>
      </c>
      <c r="G21" s="17" t="n">
        <v>40261</v>
      </c>
      <c r="H21" s="17" t="n">
        <v>805</v>
      </c>
      <c r="I21" s="11" t="n">
        <f aca="false">F21*VLOOKUP(E21,Assumptions!$A$7:$B$9,2,FALSE())</f>
        <v>956.466</v>
      </c>
      <c r="J21" s="8" t="n">
        <f aca="false">F21-G21+H21+I21</f>
        <v>7046.466</v>
      </c>
      <c r="K21" s="17" t="n">
        <v>2670</v>
      </c>
      <c r="L21" s="1" t="s">
        <v>3</v>
      </c>
    </row>
    <row r="22" customFormat="false" ht="15" hidden="false" customHeight="true" outlineLevel="0" collapsed="false">
      <c r="A22" s="1" t="n">
        <v>1021</v>
      </c>
      <c r="B22" s="1" t="s">
        <v>153</v>
      </c>
      <c r="C22" s="1" t="s">
        <v>154</v>
      </c>
      <c r="D22" s="1" t="s">
        <v>143</v>
      </c>
      <c r="E22" s="1" t="s">
        <v>67</v>
      </c>
      <c r="F22" s="17" t="n">
        <v>41934</v>
      </c>
      <c r="G22" s="17" t="n">
        <v>38551</v>
      </c>
      <c r="H22" s="17" t="n">
        <v>771</v>
      </c>
      <c r="I22" s="11" t="n">
        <f aca="false">F22*VLOOKUP(E22,Assumptions!$A$7:$B$9,2,FALSE())</f>
        <v>1048.35</v>
      </c>
      <c r="J22" s="8" t="n">
        <f aca="false">F22-G22+H22+I22</f>
        <v>5202.35</v>
      </c>
      <c r="K22" s="17" t="n">
        <v>1610</v>
      </c>
      <c r="L22" s="1" t="s">
        <v>3</v>
      </c>
    </row>
    <row r="23" customFormat="false" ht="15" hidden="false" customHeight="true" outlineLevel="0" collapsed="false">
      <c r="A23" s="1" t="n">
        <v>1022</v>
      </c>
      <c r="B23" s="1" t="s">
        <v>155</v>
      </c>
      <c r="C23" s="1" t="s">
        <v>156</v>
      </c>
      <c r="D23" s="1" t="s">
        <v>157</v>
      </c>
      <c r="E23" s="1" t="s">
        <v>62</v>
      </c>
      <c r="F23" s="17" t="n">
        <v>37363</v>
      </c>
      <c r="G23" s="17" t="n">
        <v>33473</v>
      </c>
      <c r="H23" s="17" t="n">
        <v>669</v>
      </c>
      <c r="I23" s="11" t="n">
        <f aca="false">F23*VLOOKUP(E23,Assumptions!$A$7:$B$9,2,FALSE())</f>
        <v>784.623</v>
      </c>
      <c r="J23" s="8" t="n">
        <f aca="false">F23-G23+H23+I23</f>
        <v>5343.623</v>
      </c>
      <c r="K23" s="17" t="n">
        <v>1305</v>
      </c>
      <c r="L23" s="1" t="s">
        <v>3</v>
      </c>
    </row>
    <row r="24" customFormat="false" ht="15" hidden="false" customHeight="true" outlineLevel="0" collapsed="false">
      <c r="A24" s="1" t="n">
        <v>1023</v>
      </c>
      <c r="B24" s="1" t="s">
        <v>158</v>
      </c>
      <c r="C24" s="1" t="s">
        <v>159</v>
      </c>
      <c r="D24" s="1" t="s">
        <v>152</v>
      </c>
      <c r="E24" s="1" t="s">
        <v>65</v>
      </c>
      <c r="F24" s="17" t="n">
        <v>45219</v>
      </c>
      <c r="G24" s="17" t="n">
        <v>41819</v>
      </c>
      <c r="H24" s="17" t="n">
        <v>836</v>
      </c>
      <c r="I24" s="11" t="n">
        <f aca="false">F24*VLOOKUP(E24,Assumptions!$A$7:$B$9,2,FALSE())</f>
        <v>813.942</v>
      </c>
      <c r="J24" s="8" t="n">
        <f aca="false">F24-G24+H24+I24</f>
        <v>5049.942</v>
      </c>
      <c r="K24" s="17" t="n">
        <v>1677</v>
      </c>
      <c r="L24" s="1" t="s">
        <v>3</v>
      </c>
    </row>
    <row r="25" customFormat="false" ht="15" hidden="false" customHeight="true" outlineLevel="0" collapsed="false">
      <c r="A25" s="1" t="n">
        <v>1024</v>
      </c>
      <c r="B25" s="1" t="s">
        <v>160</v>
      </c>
      <c r="C25" s="1" t="s">
        <v>161</v>
      </c>
      <c r="D25" s="1" t="s">
        <v>162</v>
      </c>
      <c r="E25" s="1" t="s">
        <v>62</v>
      </c>
      <c r="F25" s="17" t="n">
        <v>51723</v>
      </c>
      <c r="G25" s="17" t="n">
        <v>46196</v>
      </c>
      <c r="H25" s="17" t="n">
        <v>923</v>
      </c>
      <c r="I25" s="11" t="n">
        <f aca="false">F25*VLOOKUP(E25,Assumptions!$A$7:$B$9,2,FALSE())</f>
        <v>1086.183</v>
      </c>
      <c r="J25" s="8" t="n">
        <f aca="false">F25-G25+H25+I25</f>
        <v>7536.183</v>
      </c>
      <c r="K25" s="17" t="n">
        <v>1083</v>
      </c>
      <c r="L25" s="1" t="s">
        <v>3</v>
      </c>
    </row>
    <row r="26" customFormat="false" ht="15" hidden="false" customHeight="true" outlineLevel="0" collapsed="false">
      <c r="A26" s="1" t="n">
        <v>1025</v>
      </c>
      <c r="B26" s="1" t="s">
        <v>163</v>
      </c>
      <c r="C26" s="1" t="s">
        <v>164</v>
      </c>
      <c r="D26" s="1" t="s">
        <v>165</v>
      </c>
      <c r="E26" s="1" t="s">
        <v>62</v>
      </c>
      <c r="F26" s="17" t="n">
        <v>33957</v>
      </c>
      <c r="G26" s="17" t="n">
        <v>31422</v>
      </c>
      <c r="H26" s="17" t="n">
        <v>628</v>
      </c>
      <c r="I26" s="11" t="n">
        <f aca="false">F26*VLOOKUP(E26,Assumptions!$A$7:$B$9,2,FALSE())</f>
        <v>713.097</v>
      </c>
      <c r="J26" s="8" t="n">
        <f aca="false">F26-G26+H26+I26</f>
        <v>3876.097</v>
      </c>
      <c r="K26" s="17" t="n">
        <v>2563</v>
      </c>
      <c r="L26" s="1" t="s">
        <v>3</v>
      </c>
    </row>
    <row r="27" customFormat="false" ht="15" hidden="false" customHeight="true" outlineLevel="0" collapsed="false">
      <c r="A27" s="1" t="n">
        <v>1026</v>
      </c>
      <c r="B27" s="1" t="s">
        <v>166</v>
      </c>
      <c r="C27" s="1" t="s">
        <v>167</v>
      </c>
      <c r="D27" s="1" t="s">
        <v>168</v>
      </c>
      <c r="E27" s="1" t="s">
        <v>65</v>
      </c>
      <c r="F27" s="17" t="n">
        <v>38484</v>
      </c>
      <c r="G27" s="17" t="n">
        <v>35694</v>
      </c>
      <c r="H27" s="17" t="n">
        <v>713</v>
      </c>
      <c r="I27" s="11" t="n">
        <f aca="false">F27*VLOOKUP(E27,Assumptions!$A$7:$B$9,2,FALSE())</f>
        <v>692.712</v>
      </c>
      <c r="J27" s="8" t="n">
        <f aca="false">F27-G27+H27+I27</f>
        <v>4195.712</v>
      </c>
      <c r="K27" s="17" t="n">
        <v>1664</v>
      </c>
      <c r="L27" s="1" t="s">
        <v>3</v>
      </c>
    </row>
    <row r="28" customFormat="false" ht="15" hidden="false" customHeight="true" outlineLevel="0" collapsed="false">
      <c r="A28" s="1" t="n">
        <v>1027</v>
      </c>
      <c r="B28" s="1" t="s">
        <v>169</v>
      </c>
      <c r="C28" s="1" t="s">
        <v>170</v>
      </c>
      <c r="D28" s="1" t="s">
        <v>171</v>
      </c>
      <c r="E28" s="1" t="s">
        <v>62</v>
      </c>
      <c r="F28" s="17" t="n">
        <v>53216</v>
      </c>
      <c r="G28" s="17" t="n">
        <v>48048</v>
      </c>
      <c r="H28" s="17" t="n">
        <v>960</v>
      </c>
      <c r="I28" s="11" t="n">
        <f aca="false">F28*VLOOKUP(E28,Assumptions!$A$7:$B$9,2,FALSE())</f>
        <v>1117.536</v>
      </c>
      <c r="J28" s="8" t="n">
        <f aca="false">F28-G28+H28+I28</f>
        <v>7245.536</v>
      </c>
      <c r="K28" s="17" t="n">
        <v>1758</v>
      </c>
      <c r="L28" s="1" t="s">
        <v>4</v>
      </c>
    </row>
    <row r="29" customFormat="false" ht="15" hidden="false" customHeight="true" outlineLevel="0" collapsed="false">
      <c r="A29" s="1" t="n">
        <v>1028</v>
      </c>
      <c r="B29" s="1" t="s">
        <v>172</v>
      </c>
      <c r="C29" s="1" t="s">
        <v>173</v>
      </c>
      <c r="D29" s="1" t="s">
        <v>174</v>
      </c>
      <c r="E29" s="1" t="s">
        <v>67</v>
      </c>
      <c r="F29" s="17" t="n">
        <v>28752</v>
      </c>
      <c r="G29" s="17" t="n">
        <v>26475</v>
      </c>
      <c r="H29" s="17" t="n">
        <v>529</v>
      </c>
      <c r="I29" s="11" t="n">
        <f aca="false">F29*VLOOKUP(E29,Assumptions!$A$7:$B$9,2,FALSE())</f>
        <v>718.8</v>
      </c>
      <c r="J29" s="8" t="n">
        <f aca="false">F29-G29+H29+I29</f>
        <v>3524.8</v>
      </c>
      <c r="K29" s="17" t="n">
        <v>1034</v>
      </c>
      <c r="L29" s="1" t="s">
        <v>4</v>
      </c>
    </row>
    <row r="30" customFormat="false" ht="15" hidden="false" customHeight="true" outlineLevel="0" collapsed="false">
      <c r="A30" s="1" t="n">
        <v>1029</v>
      </c>
      <c r="B30" s="1" t="s">
        <v>175</v>
      </c>
      <c r="C30" s="1" t="s">
        <v>176</v>
      </c>
      <c r="D30" s="1" t="s">
        <v>177</v>
      </c>
      <c r="E30" s="1" t="s">
        <v>65</v>
      </c>
      <c r="F30" s="17" t="n">
        <v>45486</v>
      </c>
      <c r="G30" s="17" t="n">
        <v>42125</v>
      </c>
      <c r="H30" s="17" t="n">
        <v>842</v>
      </c>
      <c r="I30" s="11" t="n">
        <f aca="false">F30*VLOOKUP(E30,Assumptions!$A$7:$B$9,2,FALSE())</f>
        <v>818.748</v>
      </c>
      <c r="J30" s="8" t="n">
        <f aca="false">F30-G30+H30+I30</f>
        <v>5021.748</v>
      </c>
      <c r="K30" s="17" t="n">
        <v>1496</v>
      </c>
      <c r="L30" s="1" t="s">
        <v>4</v>
      </c>
    </row>
    <row r="31" customFormat="false" ht="15" hidden="false" customHeight="true" outlineLevel="0" collapsed="false">
      <c r="A31" s="1" t="n">
        <v>1030</v>
      </c>
      <c r="B31" s="1" t="s">
        <v>178</v>
      </c>
      <c r="C31" s="1" t="s">
        <v>179</v>
      </c>
      <c r="D31" s="1" t="s">
        <v>180</v>
      </c>
      <c r="E31" s="1" t="s">
        <v>67</v>
      </c>
      <c r="F31" s="17" t="n">
        <v>56492</v>
      </c>
      <c r="G31" s="17" t="n">
        <v>50249</v>
      </c>
      <c r="H31" s="17" t="n">
        <v>1004</v>
      </c>
      <c r="I31" s="11" t="n">
        <f aca="false">F31*VLOOKUP(E31,Assumptions!$A$7:$B$9,2,FALSE())</f>
        <v>1412.3</v>
      </c>
      <c r="J31" s="8" t="n">
        <f aca="false">F31-G31+H31+I31</f>
        <v>8659.3</v>
      </c>
      <c r="K31" s="17" t="n">
        <v>806</v>
      </c>
      <c r="L31" s="1" t="s">
        <v>4</v>
      </c>
    </row>
    <row r="32" customFormat="false" ht="15" hidden="false" customHeight="true" outlineLevel="0" collapsed="false">
      <c r="A32" s="1" t="n">
        <v>1031</v>
      </c>
      <c r="B32" s="1" t="s">
        <v>181</v>
      </c>
      <c r="C32" s="1" t="s">
        <v>182</v>
      </c>
      <c r="D32" s="1" t="s">
        <v>177</v>
      </c>
      <c r="E32" s="1" t="s">
        <v>67</v>
      </c>
      <c r="F32" s="17" t="n">
        <v>60806</v>
      </c>
      <c r="G32" s="17" t="n">
        <v>56289</v>
      </c>
      <c r="H32" s="17" t="n">
        <v>1125</v>
      </c>
      <c r="I32" s="11" t="n">
        <f aca="false">F32*VLOOKUP(E32,Assumptions!$A$7:$B$9,2,FALSE())</f>
        <v>1520.15</v>
      </c>
      <c r="J32" s="8" t="n">
        <f aca="false">F32-G32+H32+I32</f>
        <v>7162.15</v>
      </c>
      <c r="K32" s="17" t="n">
        <v>1839</v>
      </c>
      <c r="L32" s="1" t="s">
        <v>4</v>
      </c>
    </row>
    <row r="33" customFormat="false" ht="15" hidden="false" customHeight="true" outlineLevel="0" collapsed="false">
      <c r="A33" s="1" t="n">
        <v>1032</v>
      </c>
      <c r="B33" s="1" t="s">
        <v>183</v>
      </c>
      <c r="C33" s="1" t="s">
        <v>184</v>
      </c>
      <c r="D33" s="1" t="s">
        <v>185</v>
      </c>
      <c r="E33" s="1" t="s">
        <v>67</v>
      </c>
      <c r="F33" s="17" t="n">
        <v>61270</v>
      </c>
      <c r="G33" s="17" t="n">
        <v>56156</v>
      </c>
      <c r="H33" s="17" t="n">
        <v>1123</v>
      </c>
      <c r="I33" s="11" t="n">
        <f aca="false">F33*VLOOKUP(E33,Assumptions!$A$7:$B$9,2,FALSE())</f>
        <v>1531.75</v>
      </c>
      <c r="J33" s="8" t="n">
        <f aca="false">F33-G33+H33+I33</f>
        <v>7768.75</v>
      </c>
      <c r="K33" s="17" t="n">
        <v>1113</v>
      </c>
      <c r="L33" s="1" t="s">
        <v>4</v>
      </c>
    </row>
    <row r="34" customFormat="false" ht="15" hidden="false" customHeight="true" outlineLevel="0" collapsed="false">
      <c r="A34" s="1" t="n">
        <v>1033</v>
      </c>
      <c r="B34" s="1" t="s">
        <v>186</v>
      </c>
      <c r="C34" s="1" t="s">
        <v>187</v>
      </c>
      <c r="D34" s="1" t="s">
        <v>188</v>
      </c>
      <c r="E34" s="1" t="s">
        <v>65</v>
      </c>
      <c r="F34" s="17" t="n">
        <v>28037</v>
      </c>
      <c r="G34" s="17" t="n">
        <v>25680</v>
      </c>
      <c r="H34" s="17" t="n">
        <v>513</v>
      </c>
      <c r="I34" s="11" t="n">
        <f aca="false">F34*VLOOKUP(E34,Assumptions!$A$7:$B$9,2,FALSE())</f>
        <v>504.666</v>
      </c>
      <c r="J34" s="8" t="n">
        <f aca="false">F34-G34+H34+I34</f>
        <v>3374.666</v>
      </c>
      <c r="K34" s="17" t="n">
        <v>1800</v>
      </c>
      <c r="L34" s="1" t="s">
        <v>4</v>
      </c>
    </row>
    <row r="35" customFormat="false" ht="15" hidden="false" customHeight="true" outlineLevel="0" collapsed="false">
      <c r="A35" s="1" t="n">
        <v>1034</v>
      </c>
      <c r="B35" s="1" t="s">
        <v>189</v>
      </c>
      <c r="C35" s="1" t="s">
        <v>190</v>
      </c>
      <c r="D35" s="1" t="s">
        <v>191</v>
      </c>
      <c r="E35" s="1" t="s">
        <v>62</v>
      </c>
      <c r="F35" s="17" t="n">
        <v>51788</v>
      </c>
      <c r="G35" s="17" t="n">
        <v>48303</v>
      </c>
      <c r="H35" s="17" t="n">
        <v>966</v>
      </c>
      <c r="I35" s="11" t="n">
        <f aca="false">F35*VLOOKUP(E35,Assumptions!$A$7:$B$9,2,FALSE())</f>
        <v>1087.548</v>
      </c>
      <c r="J35" s="8" t="n">
        <f aca="false">F35-G35+H35+I35</f>
        <v>5538.548</v>
      </c>
      <c r="K35" s="17" t="n">
        <v>2503</v>
      </c>
      <c r="L35" s="1" t="s">
        <v>4</v>
      </c>
    </row>
    <row r="36" customFormat="false" ht="15" hidden="false" customHeight="true" outlineLevel="0" collapsed="false">
      <c r="A36" s="1" t="n">
        <v>1035</v>
      </c>
      <c r="B36" s="1" t="s">
        <v>192</v>
      </c>
      <c r="C36" s="1" t="s">
        <v>193</v>
      </c>
      <c r="D36" s="1" t="s">
        <v>194</v>
      </c>
      <c r="E36" s="1" t="s">
        <v>67</v>
      </c>
      <c r="F36" s="17" t="n">
        <v>43692</v>
      </c>
      <c r="G36" s="17" t="n">
        <v>38600</v>
      </c>
      <c r="H36" s="17" t="n">
        <v>772</v>
      </c>
      <c r="I36" s="11" t="n">
        <f aca="false">F36*VLOOKUP(E36,Assumptions!$A$7:$B$9,2,FALSE())</f>
        <v>1092.3</v>
      </c>
      <c r="J36" s="8" t="n">
        <f aca="false">F36-G36+H36+I36</f>
        <v>6956.3</v>
      </c>
      <c r="K36" s="17" t="n">
        <v>2598</v>
      </c>
      <c r="L36" s="1" t="s">
        <v>4</v>
      </c>
    </row>
    <row r="37" customFormat="false" ht="15" hidden="false" customHeight="true" outlineLevel="0" collapsed="false">
      <c r="A37" s="1" t="n">
        <v>1036</v>
      </c>
      <c r="B37" s="1" t="s">
        <v>195</v>
      </c>
      <c r="C37" s="1" t="s">
        <v>196</v>
      </c>
      <c r="D37" s="1" t="s">
        <v>197</v>
      </c>
      <c r="E37" s="1" t="s">
        <v>62</v>
      </c>
      <c r="F37" s="17" t="n">
        <v>33613</v>
      </c>
      <c r="G37" s="17" t="n">
        <v>31055</v>
      </c>
      <c r="H37" s="17" t="n">
        <v>621</v>
      </c>
      <c r="I37" s="11" t="n">
        <f aca="false">F37*VLOOKUP(E37,Assumptions!$A$7:$B$9,2,FALSE())</f>
        <v>705.873</v>
      </c>
      <c r="J37" s="8" t="n">
        <f aca="false">F37-G37+H37+I37</f>
        <v>3884.873</v>
      </c>
      <c r="K37" s="17" t="n">
        <v>2471</v>
      </c>
      <c r="L37" s="1" t="s">
        <v>4</v>
      </c>
    </row>
    <row r="38" customFormat="false" ht="15" hidden="false" customHeight="true" outlineLevel="0" collapsed="false">
      <c r="A38" s="1" t="n">
        <v>1037</v>
      </c>
      <c r="B38" s="1" t="s">
        <v>198</v>
      </c>
      <c r="C38" s="1" t="s">
        <v>199</v>
      </c>
      <c r="D38" s="1" t="s">
        <v>200</v>
      </c>
      <c r="E38" s="1" t="s">
        <v>65</v>
      </c>
      <c r="F38" s="17" t="n">
        <v>36241</v>
      </c>
      <c r="G38" s="17" t="n">
        <v>32171</v>
      </c>
      <c r="H38" s="17" t="n">
        <v>643</v>
      </c>
      <c r="I38" s="11" t="n">
        <f aca="false">F38*VLOOKUP(E38,Assumptions!$A$7:$B$9,2,FALSE())</f>
        <v>652.338</v>
      </c>
      <c r="J38" s="8" t="n">
        <f aca="false">F38-G38+H38+I38</f>
        <v>5365.338</v>
      </c>
      <c r="K38" s="17" t="n">
        <v>1773</v>
      </c>
      <c r="L38" s="1" t="s">
        <v>4</v>
      </c>
    </row>
    <row r="39" customFormat="false" ht="15" hidden="false" customHeight="true" outlineLevel="0" collapsed="false">
      <c r="A39" s="1" t="n">
        <v>1038</v>
      </c>
      <c r="B39" s="1" t="s">
        <v>201</v>
      </c>
      <c r="C39" s="1" t="s">
        <v>202</v>
      </c>
      <c r="D39" s="1" t="s">
        <v>203</v>
      </c>
      <c r="E39" s="1" t="s">
        <v>65</v>
      </c>
      <c r="F39" s="17" t="n">
        <v>45370</v>
      </c>
      <c r="G39" s="17" t="n">
        <v>41362</v>
      </c>
      <c r="H39" s="17" t="n">
        <v>827</v>
      </c>
      <c r="I39" s="11" t="n">
        <f aca="false">F39*VLOOKUP(E39,Assumptions!$A$7:$B$9,2,FALSE())</f>
        <v>816.66</v>
      </c>
      <c r="J39" s="8" t="n">
        <f aca="false">F39-G39+H39+I39</f>
        <v>5651.66</v>
      </c>
      <c r="K39" s="17" t="n">
        <v>2042</v>
      </c>
      <c r="L39" s="1" t="s">
        <v>4</v>
      </c>
    </row>
    <row r="40" customFormat="false" ht="15" hidden="false" customHeight="true" outlineLevel="0" collapsed="false">
      <c r="A40" s="1" t="n">
        <v>1039</v>
      </c>
      <c r="B40" s="1" t="s">
        <v>204</v>
      </c>
      <c r="C40" s="1" t="s">
        <v>205</v>
      </c>
      <c r="D40" s="1" t="s">
        <v>174</v>
      </c>
      <c r="E40" s="1" t="s">
        <v>65</v>
      </c>
      <c r="F40" s="17" t="n">
        <v>41182</v>
      </c>
      <c r="G40" s="17" t="n">
        <v>38001</v>
      </c>
      <c r="H40" s="17" t="n">
        <v>760</v>
      </c>
      <c r="I40" s="11" t="n">
        <f aca="false">F40*VLOOKUP(E40,Assumptions!$A$7:$B$9,2,FALSE())</f>
        <v>741.276</v>
      </c>
      <c r="J40" s="8" t="n">
        <f aca="false">F40-G40+H40+I40</f>
        <v>4682.276</v>
      </c>
      <c r="K40" s="17" t="n">
        <v>1617</v>
      </c>
      <c r="L40" s="1" t="s">
        <v>4</v>
      </c>
    </row>
    <row r="41" customFormat="false" ht="15" hidden="false" customHeight="true" outlineLevel="0" collapsed="false">
      <c r="A41" s="1" t="n">
        <v>1040</v>
      </c>
      <c r="B41" s="1" t="s">
        <v>206</v>
      </c>
      <c r="C41" s="1" t="s">
        <v>207</v>
      </c>
      <c r="D41" s="1" t="s">
        <v>177</v>
      </c>
      <c r="E41" s="1" t="s">
        <v>67</v>
      </c>
      <c r="F41" s="17" t="n">
        <v>56711</v>
      </c>
      <c r="G41" s="17" t="n">
        <v>52966</v>
      </c>
      <c r="H41" s="17" t="n">
        <v>1059</v>
      </c>
      <c r="I41" s="11" t="n">
        <f aca="false">F41*VLOOKUP(E41,Assumptions!$A$7:$B$9,2,FALSE())</f>
        <v>1417.775</v>
      </c>
      <c r="J41" s="8" t="n">
        <f aca="false">F41-G41+H41+I41</f>
        <v>6221.775</v>
      </c>
      <c r="K41" s="17" t="n">
        <v>1724</v>
      </c>
      <c r="L41" s="1" t="s">
        <v>4</v>
      </c>
    </row>
    <row r="43" customFormat="false" ht="15" hidden="false" customHeight="true" outlineLevel="0" collapsed="false">
      <c r="A43" s="9" t="s">
        <v>208</v>
      </c>
    </row>
    <row r="44" customFormat="false" ht="15" hidden="false" customHeight="true" outlineLevel="0" collapsed="false">
      <c r="A44" s="3" t="s">
        <v>209</v>
      </c>
      <c r="B44" s="6" t="n">
        <f aca="false">COUNTIFS(L2:L41,"Mar")</f>
        <v>14</v>
      </c>
    </row>
    <row r="45" customFormat="false" ht="15" hidden="false" customHeight="true" outlineLevel="0" collapsed="false">
      <c r="A45" s="3" t="s">
        <v>210</v>
      </c>
      <c r="B45" s="8" t="n">
        <f aca="false">SUMIFS(J2:J41,L2:L41,"Mar")</f>
        <v>81057.72</v>
      </c>
    </row>
    <row r="46" customFormat="false" ht="15" hidden="false" customHeight="true" outlineLevel="0" collapsed="false">
      <c r="A46" s="3" t="s">
        <v>211</v>
      </c>
      <c r="B46" s="8" t="n">
        <f aca="false">AVERAGEIFS(J2:J41,L2:L41,"Mar")</f>
        <v>5789.83714285714</v>
      </c>
    </row>
    <row r="47" customFormat="false" ht="15" hidden="false" customHeight="true" outlineLevel="0" collapsed="false">
      <c r="A47" s="3" t="s">
        <v>212</v>
      </c>
      <c r="B47" s="8" t="n">
        <f aca="false">SUMIFS(K2:K41,L2:L41,"Mar")</f>
        <v>24574</v>
      </c>
    </row>
    <row r="48" customFormat="false" ht="15" hidden="false" customHeight="true" outlineLevel="0" collapsed="false">
      <c r="A48" s="3" t="s">
        <v>213</v>
      </c>
      <c r="B48" s="8" t="n">
        <f aca="false">B47/B44</f>
        <v>1755.28571428571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5" t="s">
        <v>84</v>
      </c>
      <c r="B1" s="5" t="s">
        <v>85</v>
      </c>
      <c r="C1" s="5" t="s">
        <v>86</v>
      </c>
      <c r="D1" s="5" t="s">
        <v>87</v>
      </c>
      <c r="E1" s="5" t="s">
        <v>214</v>
      </c>
      <c r="F1" s="5" t="s">
        <v>215</v>
      </c>
      <c r="G1" s="5" t="s">
        <v>89</v>
      </c>
      <c r="H1" s="5" t="s">
        <v>216</v>
      </c>
      <c r="I1" s="5" t="s">
        <v>217</v>
      </c>
      <c r="J1" s="5" t="s">
        <v>218</v>
      </c>
      <c r="K1" s="5" t="s">
        <v>219</v>
      </c>
      <c r="L1" s="5" t="s">
        <v>95</v>
      </c>
    </row>
    <row r="2" customFormat="false" ht="15" hidden="false" customHeight="true" outlineLevel="0" collapsed="false">
      <c r="A2" s="1" t="n">
        <v>2001</v>
      </c>
      <c r="B2" s="1" t="s">
        <v>220</v>
      </c>
      <c r="C2" s="1" t="s">
        <v>221</v>
      </c>
      <c r="D2" s="1" t="s">
        <v>222</v>
      </c>
      <c r="E2" s="1" t="n">
        <v>7</v>
      </c>
      <c r="F2" s="1" t="s">
        <v>223</v>
      </c>
      <c r="G2" s="17" t="n">
        <v>20123</v>
      </c>
      <c r="H2" s="17" t="n">
        <v>15076</v>
      </c>
      <c r="I2" s="17" t="n">
        <v>992</v>
      </c>
      <c r="J2" s="11" t="n">
        <f aca="false">E2*H2*FloorPlanRate/365</f>
        <v>16.7694684931507</v>
      </c>
      <c r="K2" s="8" t="n">
        <f aca="false">G2-H2-I2-J2</f>
        <v>4038.23053150685</v>
      </c>
      <c r="L2" s="1" t="s">
        <v>2</v>
      </c>
    </row>
    <row r="3" customFormat="false" ht="15" hidden="false" customHeight="true" outlineLevel="0" collapsed="false">
      <c r="A3" s="1" t="n">
        <v>2002</v>
      </c>
      <c r="B3" s="1" t="s">
        <v>224</v>
      </c>
      <c r="C3" s="1" t="s">
        <v>225</v>
      </c>
      <c r="D3" s="1" t="s">
        <v>226</v>
      </c>
      <c r="E3" s="1" t="n">
        <v>14</v>
      </c>
      <c r="F3" s="1" t="s">
        <v>223</v>
      </c>
      <c r="G3" s="17" t="n">
        <v>19540</v>
      </c>
      <c r="H3" s="17" t="n">
        <v>15563</v>
      </c>
      <c r="I3" s="17" t="n">
        <v>314</v>
      </c>
      <c r="J3" s="11" t="n">
        <f aca="false">E3*H3*FloorPlanRate/365</f>
        <v>34.6223452054795</v>
      </c>
      <c r="K3" s="8" t="n">
        <f aca="false">G3-H3-I3-J3</f>
        <v>3628.37765479452</v>
      </c>
      <c r="L3" s="1" t="s">
        <v>2</v>
      </c>
    </row>
    <row r="4" customFormat="false" ht="15" hidden="false" customHeight="true" outlineLevel="0" collapsed="false">
      <c r="A4" s="1" t="n">
        <v>2003</v>
      </c>
      <c r="B4" s="1" t="s">
        <v>227</v>
      </c>
      <c r="C4" s="1" t="s">
        <v>228</v>
      </c>
      <c r="D4" s="1" t="s">
        <v>126</v>
      </c>
      <c r="E4" s="1" t="n">
        <v>9</v>
      </c>
      <c r="F4" s="1" t="s">
        <v>229</v>
      </c>
      <c r="G4" s="17" t="n">
        <v>13929</v>
      </c>
      <c r="H4" s="17" t="n">
        <v>10443</v>
      </c>
      <c r="I4" s="17" t="n">
        <v>2154</v>
      </c>
      <c r="J4" s="11" t="n">
        <f aca="false">E4*H4*FloorPlanRate/365</f>
        <v>14.9349205479452</v>
      </c>
      <c r="K4" s="8" t="n">
        <f aca="false">G4-H4-I4-J4</f>
        <v>1317.06507945205</v>
      </c>
      <c r="L4" s="1" t="s">
        <v>2</v>
      </c>
    </row>
    <row r="5" customFormat="false" ht="15" hidden="false" customHeight="true" outlineLevel="0" collapsed="false">
      <c r="A5" s="1" t="n">
        <v>2004</v>
      </c>
      <c r="B5" s="1" t="s">
        <v>230</v>
      </c>
      <c r="C5" s="1" t="s">
        <v>231</v>
      </c>
      <c r="D5" s="1" t="s">
        <v>104</v>
      </c>
      <c r="E5" s="1" t="n">
        <v>67</v>
      </c>
      <c r="F5" s="1" t="s">
        <v>223</v>
      </c>
      <c r="G5" s="17" t="n">
        <v>14321</v>
      </c>
      <c r="H5" s="17" t="n">
        <v>11268</v>
      </c>
      <c r="I5" s="17" t="n">
        <v>870</v>
      </c>
      <c r="J5" s="11" t="n">
        <f aca="false">E5*H5*FloorPlanRate/365</f>
        <v>119.965610958904</v>
      </c>
      <c r="K5" s="8" t="n">
        <f aca="false">G5-H5-I5-J5</f>
        <v>2063.0343890411</v>
      </c>
      <c r="L5" s="1" t="s">
        <v>2</v>
      </c>
    </row>
    <row r="6" customFormat="false" ht="15" hidden="false" customHeight="true" outlineLevel="0" collapsed="false">
      <c r="A6" s="1" t="n">
        <v>2005</v>
      </c>
      <c r="B6" s="1" t="s">
        <v>232</v>
      </c>
      <c r="C6" s="1" t="s">
        <v>233</v>
      </c>
      <c r="D6" s="1" t="s">
        <v>98</v>
      </c>
      <c r="E6" s="1" t="n">
        <v>65</v>
      </c>
      <c r="F6" s="1" t="s">
        <v>229</v>
      </c>
      <c r="G6" s="17" t="n">
        <v>16335</v>
      </c>
      <c r="H6" s="17" t="n">
        <v>13297</v>
      </c>
      <c r="I6" s="17" t="n">
        <v>2107</v>
      </c>
      <c r="J6" s="11" t="n">
        <f aca="false">E6*H6*FloorPlanRate/365</f>
        <v>137.341616438356</v>
      </c>
      <c r="K6" s="8" t="n">
        <f aca="false">G6-H6-I6-J6</f>
        <v>793.658383561644</v>
      </c>
      <c r="L6" s="1" t="s">
        <v>2</v>
      </c>
    </row>
    <row r="7" customFormat="false" ht="15" hidden="false" customHeight="true" outlineLevel="0" collapsed="false">
      <c r="A7" s="1" t="n">
        <v>2006</v>
      </c>
      <c r="B7" s="1" t="s">
        <v>234</v>
      </c>
      <c r="C7" s="1" t="s">
        <v>235</v>
      </c>
      <c r="D7" s="1" t="s">
        <v>117</v>
      </c>
      <c r="E7" s="1" t="n">
        <v>60</v>
      </c>
      <c r="F7" s="1" t="s">
        <v>229</v>
      </c>
      <c r="G7" s="17" t="n">
        <v>25338</v>
      </c>
      <c r="H7" s="17" t="n">
        <v>18870</v>
      </c>
      <c r="I7" s="17" t="n">
        <v>498</v>
      </c>
      <c r="J7" s="11" t="n">
        <f aca="false">E7*H7*FloorPlanRate/365</f>
        <v>179.911232876712</v>
      </c>
      <c r="K7" s="8" t="n">
        <f aca="false">G7-H7-I7-J7</f>
        <v>5790.08876712329</v>
      </c>
      <c r="L7" s="1" t="s">
        <v>2</v>
      </c>
    </row>
    <row r="8" customFormat="false" ht="15" hidden="false" customHeight="true" outlineLevel="0" collapsed="false">
      <c r="A8" s="1" t="n">
        <v>2007</v>
      </c>
      <c r="B8" s="1" t="s">
        <v>236</v>
      </c>
      <c r="C8" s="1" t="s">
        <v>237</v>
      </c>
      <c r="D8" s="1" t="s">
        <v>129</v>
      </c>
      <c r="E8" s="1" t="n">
        <v>11</v>
      </c>
      <c r="F8" s="1" t="s">
        <v>223</v>
      </c>
      <c r="G8" s="17" t="n">
        <v>25470</v>
      </c>
      <c r="H8" s="17" t="n">
        <v>19884</v>
      </c>
      <c r="I8" s="17" t="n">
        <v>1793</v>
      </c>
      <c r="J8" s="11" t="n">
        <f aca="false">E8*H8*FloorPlanRate/365</f>
        <v>34.7561424657534</v>
      </c>
      <c r="K8" s="8" t="n">
        <f aca="false">G8-H8-I8-J8</f>
        <v>3758.24385753425</v>
      </c>
      <c r="L8" s="1" t="s">
        <v>2</v>
      </c>
    </row>
    <row r="9" customFormat="false" ht="15" hidden="false" customHeight="true" outlineLevel="0" collapsed="false">
      <c r="A9" s="1" t="n">
        <v>2008</v>
      </c>
      <c r="B9" s="1" t="s">
        <v>238</v>
      </c>
      <c r="C9" s="1" t="s">
        <v>239</v>
      </c>
      <c r="D9" s="1" t="s">
        <v>240</v>
      </c>
      <c r="E9" s="1" t="n">
        <v>48</v>
      </c>
      <c r="F9" s="1" t="s">
        <v>241</v>
      </c>
      <c r="G9" s="17" t="n">
        <v>33174</v>
      </c>
      <c r="H9" s="17" t="n">
        <v>24309</v>
      </c>
      <c r="I9" s="17" t="n">
        <v>1124</v>
      </c>
      <c r="J9" s="11" t="n">
        <f aca="false">E9*H9*FloorPlanRate/365</f>
        <v>185.4144</v>
      </c>
      <c r="K9" s="8" t="n">
        <f aca="false">G9-H9-I9-J9</f>
        <v>7555.5856</v>
      </c>
      <c r="L9" s="1" t="s">
        <v>2</v>
      </c>
    </row>
    <row r="10" customFormat="false" ht="15" hidden="false" customHeight="true" outlineLevel="0" collapsed="false">
      <c r="A10" s="1" t="n">
        <v>2009</v>
      </c>
      <c r="B10" s="1" t="s">
        <v>242</v>
      </c>
      <c r="C10" s="1" t="s">
        <v>243</v>
      </c>
      <c r="D10" s="1" t="s">
        <v>244</v>
      </c>
      <c r="E10" s="1" t="n">
        <v>62</v>
      </c>
      <c r="F10" s="1" t="s">
        <v>229</v>
      </c>
      <c r="G10" s="17" t="n">
        <v>20147</v>
      </c>
      <c r="H10" s="17" t="n">
        <v>15007</v>
      </c>
      <c r="I10" s="17" t="n">
        <v>1398</v>
      </c>
      <c r="J10" s="11" t="n">
        <f aca="false">E10*H10*FloorPlanRate/365</f>
        <v>147.84978630137</v>
      </c>
      <c r="K10" s="8" t="n">
        <f aca="false">G10-H10-I10-J10</f>
        <v>3594.15021369863</v>
      </c>
      <c r="L10" s="1" t="s">
        <v>2</v>
      </c>
    </row>
    <row r="11" customFormat="false" ht="15" hidden="false" customHeight="true" outlineLevel="0" collapsed="false">
      <c r="A11" s="1" t="n">
        <v>2010</v>
      </c>
      <c r="B11" s="1" t="s">
        <v>245</v>
      </c>
      <c r="C11" s="1" t="s">
        <v>246</v>
      </c>
      <c r="D11" s="1" t="s">
        <v>120</v>
      </c>
      <c r="E11" s="1" t="n">
        <v>14</v>
      </c>
      <c r="F11" s="1" t="s">
        <v>223</v>
      </c>
      <c r="G11" s="17" t="n">
        <v>18012</v>
      </c>
      <c r="H11" s="17" t="n">
        <v>13620</v>
      </c>
      <c r="I11" s="17" t="n">
        <v>811</v>
      </c>
      <c r="J11" s="11" t="n">
        <f aca="false">E11*H11*FloorPlanRate/365</f>
        <v>30.2998356164384</v>
      </c>
      <c r="K11" s="8" t="n">
        <f aca="false">G11-H11-I11-J11</f>
        <v>3550.70016438356</v>
      </c>
      <c r="L11" s="1" t="s">
        <v>2</v>
      </c>
    </row>
    <row r="12" customFormat="false" ht="15" hidden="false" customHeight="true" outlineLevel="0" collapsed="false">
      <c r="A12" s="1" t="n">
        <v>2011</v>
      </c>
      <c r="B12" s="1" t="s">
        <v>247</v>
      </c>
      <c r="C12" s="1" t="s">
        <v>248</v>
      </c>
      <c r="D12" s="1" t="s">
        <v>249</v>
      </c>
      <c r="E12" s="1" t="n">
        <v>6</v>
      </c>
      <c r="F12" s="1" t="s">
        <v>241</v>
      </c>
      <c r="G12" s="17" t="n">
        <v>15208</v>
      </c>
      <c r="H12" s="17" t="n">
        <v>11049</v>
      </c>
      <c r="I12" s="17" t="n">
        <v>1407</v>
      </c>
      <c r="J12" s="11" t="n">
        <f aca="false">E12*H12*FloorPlanRate/365</f>
        <v>10.5343890410959</v>
      </c>
      <c r="K12" s="8" t="n">
        <f aca="false">G12-H12-I12-J12</f>
        <v>2741.4656109589</v>
      </c>
      <c r="L12" s="1" t="s">
        <v>3</v>
      </c>
    </row>
    <row r="13" customFormat="false" ht="15" hidden="false" customHeight="true" outlineLevel="0" collapsed="false">
      <c r="A13" s="1" t="n">
        <v>2012</v>
      </c>
      <c r="B13" s="1" t="s">
        <v>250</v>
      </c>
      <c r="C13" s="1" t="s">
        <v>251</v>
      </c>
      <c r="D13" s="1" t="s">
        <v>252</v>
      </c>
      <c r="E13" s="1" t="n">
        <v>32</v>
      </c>
      <c r="F13" s="1" t="s">
        <v>229</v>
      </c>
      <c r="G13" s="17" t="n">
        <v>17449</v>
      </c>
      <c r="H13" s="17" t="n">
        <v>13485</v>
      </c>
      <c r="I13" s="17" t="n">
        <v>1285</v>
      </c>
      <c r="J13" s="11" t="n">
        <f aca="false">E13*H13*FloorPlanRate/365</f>
        <v>68.570301369863</v>
      </c>
      <c r="K13" s="8" t="n">
        <f aca="false">G13-H13-I13-J13</f>
        <v>2610.42969863014</v>
      </c>
      <c r="L13" s="1" t="s">
        <v>3</v>
      </c>
    </row>
    <row r="14" customFormat="false" ht="15" hidden="false" customHeight="true" outlineLevel="0" collapsed="false">
      <c r="A14" s="1" t="n">
        <v>2013</v>
      </c>
      <c r="B14" s="1" t="s">
        <v>253</v>
      </c>
      <c r="C14" s="1" t="s">
        <v>254</v>
      </c>
      <c r="D14" s="1" t="s">
        <v>255</v>
      </c>
      <c r="E14" s="1" t="n">
        <v>54</v>
      </c>
      <c r="F14" s="1" t="s">
        <v>229</v>
      </c>
      <c r="G14" s="17" t="n">
        <v>13921</v>
      </c>
      <c r="H14" s="17" t="n">
        <v>10321</v>
      </c>
      <c r="I14" s="17" t="n">
        <v>304</v>
      </c>
      <c r="J14" s="11" t="n">
        <f aca="false">E14*H14*FloorPlanRate/365</f>
        <v>88.5626630136986</v>
      </c>
      <c r="K14" s="8" t="n">
        <f aca="false">G14-H14-I14-J14</f>
        <v>3207.4373369863</v>
      </c>
      <c r="L14" s="1" t="s">
        <v>3</v>
      </c>
    </row>
    <row r="15" customFormat="false" ht="15" hidden="false" customHeight="true" outlineLevel="0" collapsed="false">
      <c r="A15" s="1" t="n">
        <v>2014</v>
      </c>
      <c r="B15" s="1" t="s">
        <v>256</v>
      </c>
      <c r="C15" s="1" t="s">
        <v>257</v>
      </c>
      <c r="D15" s="1" t="s">
        <v>258</v>
      </c>
      <c r="E15" s="1" t="n">
        <v>67</v>
      </c>
      <c r="F15" s="1" t="s">
        <v>241</v>
      </c>
      <c r="G15" s="17" t="n">
        <v>21347</v>
      </c>
      <c r="H15" s="17" t="n">
        <v>16543</v>
      </c>
      <c r="I15" s="17" t="n">
        <v>1796</v>
      </c>
      <c r="J15" s="11" t="n">
        <f aca="false">E15*H15*FloorPlanRate/365</f>
        <v>176.126295890411</v>
      </c>
      <c r="K15" s="8" t="n">
        <f aca="false">G15-H15-I15-J15</f>
        <v>2831.87370410959</v>
      </c>
      <c r="L15" s="1" t="s">
        <v>3</v>
      </c>
    </row>
    <row r="16" customFormat="false" ht="15" hidden="false" customHeight="true" outlineLevel="0" collapsed="false">
      <c r="A16" s="1" t="n">
        <v>2015</v>
      </c>
      <c r="B16" s="1" t="s">
        <v>259</v>
      </c>
      <c r="C16" s="1" t="s">
        <v>260</v>
      </c>
      <c r="D16" s="1" t="s">
        <v>261</v>
      </c>
      <c r="E16" s="1" t="n">
        <v>74</v>
      </c>
      <c r="F16" s="1" t="s">
        <v>223</v>
      </c>
      <c r="G16" s="17" t="n">
        <v>21722</v>
      </c>
      <c r="H16" s="17" t="n">
        <v>16254</v>
      </c>
      <c r="I16" s="17" t="n">
        <v>419</v>
      </c>
      <c r="J16" s="11" t="n">
        <f aca="false">E16*H16*FloorPlanRate/365</f>
        <v>191.12922739726</v>
      </c>
      <c r="K16" s="8" t="n">
        <f aca="false">G16-H16-I16-J16</f>
        <v>4857.87077260274</v>
      </c>
      <c r="L16" s="1" t="s">
        <v>3</v>
      </c>
    </row>
    <row r="17" customFormat="false" ht="15" hidden="false" customHeight="true" outlineLevel="0" collapsed="false">
      <c r="A17" s="1" t="n">
        <v>2016</v>
      </c>
      <c r="B17" s="1" t="s">
        <v>262</v>
      </c>
      <c r="C17" s="1" t="s">
        <v>263</v>
      </c>
      <c r="D17" s="1" t="s">
        <v>162</v>
      </c>
      <c r="E17" s="1" t="n">
        <v>66</v>
      </c>
      <c r="F17" s="1" t="s">
        <v>223</v>
      </c>
      <c r="G17" s="17" t="n">
        <v>22276</v>
      </c>
      <c r="H17" s="17" t="n">
        <v>16204</v>
      </c>
      <c r="I17" s="17" t="n">
        <v>1496</v>
      </c>
      <c r="J17" s="11" t="n">
        <f aca="false">E17*H17*FloorPlanRate/365</f>
        <v>169.942224657534</v>
      </c>
      <c r="K17" s="8" t="n">
        <f aca="false">G17-H17-I17-J17</f>
        <v>4406.05777534247</v>
      </c>
      <c r="L17" s="1" t="s">
        <v>3</v>
      </c>
    </row>
    <row r="18" customFormat="false" ht="15" hidden="false" customHeight="true" outlineLevel="0" collapsed="false">
      <c r="A18" s="1" t="n">
        <v>2017</v>
      </c>
      <c r="B18" s="1" t="s">
        <v>264</v>
      </c>
      <c r="C18" s="1" t="s">
        <v>265</v>
      </c>
      <c r="D18" s="1" t="s">
        <v>252</v>
      </c>
      <c r="E18" s="1" t="n">
        <v>15</v>
      </c>
      <c r="F18" s="1" t="s">
        <v>241</v>
      </c>
      <c r="G18" s="17" t="n">
        <v>17158</v>
      </c>
      <c r="H18" s="17" t="n">
        <v>12480</v>
      </c>
      <c r="I18" s="17" t="n">
        <v>1340</v>
      </c>
      <c r="J18" s="11" t="n">
        <f aca="false">E18*H18*FloorPlanRate/365</f>
        <v>29.7468493150685</v>
      </c>
      <c r="K18" s="8" t="n">
        <f aca="false">G18-H18-I18-J18</f>
        <v>3308.25315068493</v>
      </c>
      <c r="L18" s="1" t="s">
        <v>3</v>
      </c>
    </row>
    <row r="19" customFormat="false" ht="15" hidden="false" customHeight="true" outlineLevel="0" collapsed="false">
      <c r="A19" s="1" t="n">
        <v>2018</v>
      </c>
      <c r="B19" s="1" t="s">
        <v>266</v>
      </c>
      <c r="C19" s="1" t="s">
        <v>267</v>
      </c>
      <c r="D19" s="1" t="s">
        <v>268</v>
      </c>
      <c r="E19" s="1" t="n">
        <v>35</v>
      </c>
      <c r="F19" s="1" t="s">
        <v>241</v>
      </c>
      <c r="G19" s="17" t="n">
        <v>14245</v>
      </c>
      <c r="H19" s="17" t="n">
        <v>11358</v>
      </c>
      <c r="I19" s="17" t="n">
        <v>1682</v>
      </c>
      <c r="J19" s="11" t="n">
        <f aca="false">E19*H19*FloorPlanRate/365</f>
        <v>63.1691506849315</v>
      </c>
      <c r="K19" s="8" t="n">
        <f aca="false">G19-H19-I19-J19</f>
        <v>1141.83084931507</v>
      </c>
      <c r="L19" s="1" t="s">
        <v>3</v>
      </c>
    </row>
    <row r="20" customFormat="false" ht="15" hidden="false" customHeight="true" outlineLevel="0" collapsed="false">
      <c r="A20" s="1" t="n">
        <v>2019</v>
      </c>
      <c r="B20" s="1" t="s">
        <v>269</v>
      </c>
      <c r="C20" s="1" t="s">
        <v>270</v>
      </c>
      <c r="D20" s="1" t="s">
        <v>168</v>
      </c>
      <c r="E20" s="1" t="n">
        <v>10</v>
      </c>
      <c r="F20" s="1" t="s">
        <v>241</v>
      </c>
      <c r="G20" s="17" t="n">
        <v>30667</v>
      </c>
      <c r="H20" s="17" t="n">
        <v>23061</v>
      </c>
      <c r="I20" s="17" t="n">
        <v>1517</v>
      </c>
      <c r="J20" s="11" t="n">
        <f aca="false">E20*H20*FloorPlanRate/365</f>
        <v>36.6448767123288</v>
      </c>
      <c r="K20" s="8" t="n">
        <f aca="false">G20-H20-I20-J20</f>
        <v>6052.35512328767</v>
      </c>
      <c r="L20" s="1" t="s">
        <v>3</v>
      </c>
    </row>
    <row r="21" customFormat="false" ht="15" hidden="false" customHeight="true" outlineLevel="0" collapsed="false">
      <c r="A21" s="1" t="n">
        <v>2020</v>
      </c>
      <c r="B21" s="1" t="s">
        <v>271</v>
      </c>
      <c r="C21" s="1" t="s">
        <v>272</v>
      </c>
      <c r="D21" s="1" t="s">
        <v>149</v>
      </c>
      <c r="E21" s="1" t="n">
        <v>71</v>
      </c>
      <c r="F21" s="1" t="s">
        <v>229</v>
      </c>
      <c r="G21" s="17" t="n">
        <v>25737</v>
      </c>
      <c r="H21" s="17" t="n">
        <v>20730</v>
      </c>
      <c r="I21" s="17" t="n">
        <v>1457</v>
      </c>
      <c r="J21" s="11" t="n">
        <f aca="false">E21*H21*FloorPlanRate/365</f>
        <v>233.879835616438</v>
      </c>
      <c r="K21" s="8" t="n">
        <f aca="false">G21-H21-I21-J21</f>
        <v>3316.12016438356</v>
      </c>
      <c r="L21" s="1" t="s">
        <v>3</v>
      </c>
    </row>
    <row r="22" customFormat="false" ht="15" hidden="false" customHeight="true" outlineLevel="0" collapsed="false">
      <c r="A22" s="1" t="n">
        <v>2021</v>
      </c>
      <c r="B22" s="1" t="s">
        <v>273</v>
      </c>
      <c r="C22" s="1" t="s">
        <v>274</v>
      </c>
      <c r="D22" s="1" t="s">
        <v>275</v>
      </c>
      <c r="E22" s="1" t="n">
        <v>35</v>
      </c>
      <c r="F22" s="1" t="s">
        <v>229</v>
      </c>
      <c r="G22" s="17" t="n">
        <v>18693</v>
      </c>
      <c r="H22" s="17" t="n">
        <v>15086</v>
      </c>
      <c r="I22" s="17" t="n">
        <v>943</v>
      </c>
      <c r="J22" s="11" t="n">
        <f aca="false">E22*H22*FloorPlanRate/365</f>
        <v>83.9029589041096</v>
      </c>
      <c r="K22" s="8" t="n">
        <f aca="false">G22-H22-I22-J22</f>
        <v>2580.09704109589</v>
      </c>
      <c r="L22" s="1" t="s">
        <v>4</v>
      </c>
    </row>
    <row r="23" customFormat="false" ht="15" hidden="false" customHeight="true" outlineLevel="0" collapsed="false">
      <c r="A23" s="1" t="n">
        <v>2022</v>
      </c>
      <c r="B23" s="1" t="s">
        <v>276</v>
      </c>
      <c r="C23" s="1" t="s">
        <v>277</v>
      </c>
      <c r="D23" s="1" t="s">
        <v>278</v>
      </c>
      <c r="E23" s="1" t="n">
        <v>63</v>
      </c>
      <c r="F23" s="1" t="s">
        <v>241</v>
      </c>
      <c r="G23" s="17" t="n">
        <v>16288</v>
      </c>
      <c r="H23" s="17" t="n">
        <v>13149</v>
      </c>
      <c r="I23" s="17" t="n">
        <v>914</v>
      </c>
      <c r="J23" s="11" t="n">
        <f aca="false">E23*H23*FloorPlanRate/365</f>
        <v>131.634098630137</v>
      </c>
      <c r="K23" s="20" t="n">
        <v>3200</v>
      </c>
      <c r="L23" s="1" t="s">
        <v>4</v>
      </c>
    </row>
    <row r="24" customFormat="false" ht="15" hidden="false" customHeight="true" outlineLevel="0" collapsed="false">
      <c r="A24" s="1" t="n">
        <v>2023</v>
      </c>
      <c r="B24" s="1" t="s">
        <v>279</v>
      </c>
      <c r="C24" s="1" t="s">
        <v>280</v>
      </c>
      <c r="D24" s="1" t="s">
        <v>197</v>
      </c>
      <c r="E24" s="1" t="n">
        <v>17</v>
      </c>
      <c r="F24" s="1" t="s">
        <v>223</v>
      </c>
      <c r="G24" s="17" t="n">
        <v>12305</v>
      </c>
      <c r="H24" s="17" t="n">
        <v>9592</v>
      </c>
      <c r="I24" s="17" t="n">
        <v>1453</v>
      </c>
      <c r="J24" s="11" t="n">
        <f aca="false">E24*H24*FloorPlanRate/365</f>
        <v>25.9115397260274</v>
      </c>
      <c r="K24" s="8" t="n">
        <f aca="false">G24-H24-I24-J24</f>
        <v>1234.08846027397</v>
      </c>
      <c r="L24" s="1" t="s">
        <v>4</v>
      </c>
    </row>
    <row r="25" customFormat="false" ht="15" hidden="false" customHeight="true" outlineLevel="0" collapsed="false">
      <c r="A25" s="1" t="n">
        <v>2024</v>
      </c>
      <c r="B25" s="1" t="s">
        <v>281</v>
      </c>
      <c r="C25" s="1" t="s">
        <v>282</v>
      </c>
      <c r="D25" s="1" t="s">
        <v>197</v>
      </c>
      <c r="E25" s="1" t="n">
        <v>49</v>
      </c>
      <c r="F25" s="1" t="s">
        <v>241</v>
      </c>
      <c r="G25" s="17" t="n">
        <v>18984</v>
      </c>
      <c r="H25" s="17" t="n">
        <v>14916</v>
      </c>
      <c r="I25" s="17" t="n">
        <v>571</v>
      </c>
      <c r="J25" s="11" t="n">
        <f aca="false">E25*H25*FloorPlanRate/365</f>
        <v>116.140471232877</v>
      </c>
      <c r="K25" s="8" t="n">
        <f aca="false">G25-H25-I25-J25</f>
        <v>3380.85952876712</v>
      </c>
      <c r="L25" s="1" t="s">
        <v>4</v>
      </c>
    </row>
    <row r="26" customFormat="false" ht="15" hidden="false" customHeight="true" outlineLevel="0" collapsed="false">
      <c r="A26" s="1" t="n">
        <v>2025</v>
      </c>
      <c r="B26" s="1" t="s">
        <v>283</v>
      </c>
      <c r="C26" s="1" t="s">
        <v>284</v>
      </c>
      <c r="D26" s="1" t="s">
        <v>285</v>
      </c>
      <c r="E26" s="1" t="n">
        <v>74</v>
      </c>
      <c r="F26" s="1" t="s">
        <v>229</v>
      </c>
      <c r="G26" s="17" t="n">
        <v>24108</v>
      </c>
      <c r="H26" s="17" t="n">
        <v>18250</v>
      </c>
      <c r="I26" s="17" t="n">
        <v>1197</v>
      </c>
      <c r="J26" s="11" t="n">
        <f aca="false">E26*H26*FloorPlanRate/365</f>
        <v>214.6</v>
      </c>
      <c r="K26" s="8" t="n">
        <f aca="false">G26-H26-I26-J26</f>
        <v>4446.4</v>
      </c>
      <c r="L26" s="1" t="s">
        <v>4</v>
      </c>
    </row>
    <row r="27" customFormat="false" ht="15" hidden="false" customHeight="true" outlineLevel="0" collapsed="false">
      <c r="A27" s="1" t="n">
        <v>2026</v>
      </c>
      <c r="B27" s="1" t="s">
        <v>286</v>
      </c>
      <c r="C27" s="1" t="s">
        <v>287</v>
      </c>
      <c r="D27" s="1" t="s">
        <v>188</v>
      </c>
      <c r="E27" s="1" t="n">
        <v>72</v>
      </c>
      <c r="F27" s="1" t="s">
        <v>223</v>
      </c>
      <c r="G27" s="17" t="n">
        <v>32043</v>
      </c>
      <c r="H27" s="17" t="n">
        <v>27169</v>
      </c>
      <c r="I27" s="17" t="n">
        <v>1952</v>
      </c>
      <c r="J27" s="11" t="n">
        <f aca="false">E27*H27*FloorPlanRate/365</f>
        <v>310.843134246575</v>
      </c>
      <c r="K27" s="8" t="n">
        <f aca="false">G27-H27-I27-J27</f>
        <v>2611.15686575342</v>
      </c>
      <c r="L27" s="1" t="s">
        <v>4</v>
      </c>
    </row>
    <row r="28" customFormat="false" ht="15" hidden="false" customHeight="true" outlineLevel="0" collapsed="false">
      <c r="A28" s="1" t="n">
        <v>2027</v>
      </c>
      <c r="B28" s="1" t="s">
        <v>288</v>
      </c>
      <c r="C28" s="1" t="s">
        <v>289</v>
      </c>
      <c r="D28" s="1" t="s">
        <v>290</v>
      </c>
      <c r="E28" s="1" t="n">
        <v>18</v>
      </c>
      <c r="F28" s="1" t="s">
        <v>229</v>
      </c>
      <c r="G28" s="17" t="n">
        <v>30173</v>
      </c>
      <c r="H28" s="17" t="n">
        <v>22898</v>
      </c>
      <c r="I28" s="17" t="n">
        <v>1658</v>
      </c>
      <c r="J28" s="11" t="n">
        <f aca="false">E28*H28*FloorPlanRate/365</f>
        <v>65.4945534246575</v>
      </c>
      <c r="K28" s="8" t="n">
        <f aca="false">G28-H28-I28-J28</f>
        <v>5551.50544657534</v>
      </c>
      <c r="L28" s="1" t="s">
        <v>4</v>
      </c>
    </row>
    <row r="29" customFormat="false" ht="15" hidden="false" customHeight="true" outlineLevel="0" collapsed="false">
      <c r="A29" s="1" t="n">
        <v>2028</v>
      </c>
      <c r="B29" s="1" t="s">
        <v>291</v>
      </c>
      <c r="C29" s="1" t="s">
        <v>292</v>
      </c>
      <c r="D29" s="1" t="s">
        <v>290</v>
      </c>
      <c r="E29" s="1" t="n">
        <v>75</v>
      </c>
      <c r="F29" s="1" t="s">
        <v>229</v>
      </c>
      <c r="G29" s="17" t="n">
        <v>15782</v>
      </c>
      <c r="H29" s="17" t="n">
        <v>13188</v>
      </c>
      <c r="I29" s="17" t="n">
        <v>1820</v>
      </c>
      <c r="J29" s="11" t="n">
        <f aca="false">E29*H29*FloorPlanRate/365</f>
        <v>157.172054794521</v>
      </c>
      <c r="K29" s="8" t="n">
        <f aca="false">G29-H29-I29-J29</f>
        <v>616.827945205479</v>
      </c>
      <c r="L29" s="1" t="s">
        <v>4</v>
      </c>
    </row>
    <row r="30" customFormat="false" ht="15" hidden="false" customHeight="true" outlineLevel="0" collapsed="false">
      <c r="A30" s="1" t="n">
        <v>2029</v>
      </c>
      <c r="B30" s="1" t="s">
        <v>293</v>
      </c>
      <c r="C30" s="1" t="s">
        <v>294</v>
      </c>
      <c r="D30" s="1" t="s">
        <v>295</v>
      </c>
      <c r="E30" s="1" t="n">
        <v>48</v>
      </c>
      <c r="F30" s="1" t="s">
        <v>223</v>
      </c>
      <c r="G30" s="17" t="n">
        <v>21232</v>
      </c>
      <c r="H30" s="17" t="n">
        <v>16956</v>
      </c>
      <c r="I30" s="17" t="n">
        <v>1769</v>
      </c>
      <c r="J30" s="11" t="n">
        <f aca="false">E30*H30*FloorPlanRate/365</f>
        <v>129.330147945205</v>
      </c>
      <c r="K30" s="8" t="n">
        <f aca="false">G30-H30-I30-J30</f>
        <v>2377.66985205479</v>
      </c>
      <c r="L30" s="1" t="s">
        <v>4</v>
      </c>
    </row>
    <row r="31" customFormat="false" ht="15" hidden="false" customHeight="true" outlineLevel="0" collapsed="false">
      <c r="A31" s="1" t="n">
        <v>2030</v>
      </c>
      <c r="B31" s="1" t="s">
        <v>296</v>
      </c>
      <c r="C31" s="1" t="s">
        <v>297</v>
      </c>
      <c r="D31" s="1" t="s">
        <v>275</v>
      </c>
      <c r="E31" s="1" t="n">
        <v>67</v>
      </c>
      <c r="F31" s="1" t="s">
        <v>241</v>
      </c>
      <c r="G31" s="17" t="n">
        <v>32782</v>
      </c>
      <c r="H31" s="17" t="n">
        <v>27237</v>
      </c>
      <c r="I31" s="17" t="n">
        <v>1335</v>
      </c>
      <c r="J31" s="11" t="n">
        <f aca="false">E31*H31*FloorPlanRate/365</f>
        <v>289.98077260274</v>
      </c>
      <c r="K31" s="8" t="n">
        <f aca="false">G31-H31-I31-J31</f>
        <v>3920.01922739726</v>
      </c>
      <c r="L31" s="1" t="s">
        <v>4</v>
      </c>
    </row>
    <row r="32" customFormat="false" ht="15" hidden="false" customHeight="true" outlineLevel="0" collapsed="false">
      <c r="A32" s="1" t="n">
        <v>2031</v>
      </c>
      <c r="B32" s="1" t="s">
        <v>298</v>
      </c>
      <c r="C32" s="1" t="s">
        <v>299</v>
      </c>
      <c r="D32" s="1" t="s">
        <v>300</v>
      </c>
      <c r="E32" s="1" t="n">
        <v>40</v>
      </c>
      <c r="F32" s="1" t="s">
        <v>241</v>
      </c>
      <c r="G32" s="17" t="n">
        <v>15024</v>
      </c>
      <c r="H32" s="17" t="n">
        <v>12056</v>
      </c>
      <c r="I32" s="17" t="n">
        <v>1998</v>
      </c>
      <c r="J32" s="11" t="n">
        <f aca="false">E32*H32*FloorPlanRate/365</f>
        <v>76.6299178082192</v>
      </c>
      <c r="K32" s="8" t="n">
        <f aca="false">G32-H32-I32-J32</f>
        <v>893.370082191781</v>
      </c>
      <c r="L32" s="1" t="s">
        <v>4</v>
      </c>
    </row>
    <row r="34" customFormat="false" ht="15" hidden="false" customHeight="true" outlineLevel="0" collapsed="false">
      <c r="A34" s="9" t="s">
        <v>208</v>
      </c>
    </row>
    <row r="35" customFormat="false" ht="15" hidden="false" customHeight="true" outlineLevel="0" collapsed="false">
      <c r="A35" s="3" t="s">
        <v>209</v>
      </c>
      <c r="B35" s="6" t="n">
        <f aca="false">COUNTIFS(L2:L32,"Mar")</f>
        <v>11</v>
      </c>
    </row>
    <row r="36" customFormat="false" ht="15" hidden="false" customHeight="true" outlineLevel="0" collapsed="false">
      <c r="A36" s="3" t="s">
        <v>301</v>
      </c>
      <c r="B36" s="8" t="n">
        <f aca="false">SUMIFS(K2:K32,L2:L32,"Mar")</f>
        <v>30811.9944493151</v>
      </c>
    </row>
    <row r="37" customFormat="false" ht="15" hidden="false" customHeight="true" outlineLevel="0" collapsed="false">
      <c r="A37" s="3" t="s">
        <v>302</v>
      </c>
      <c r="B37" s="8" t="n">
        <f aca="false">AVERAGEIFS(K2:K32,L2:L32,"Mar")</f>
        <v>2801.09040448319</v>
      </c>
    </row>
    <row r="38" customFormat="false" ht="15" hidden="false" customHeight="true" outlineLevel="0" collapsed="false">
      <c r="A38" s="3" t="s">
        <v>303</v>
      </c>
      <c r="B38" s="8" t="n">
        <f aca="false">SUMPRODUCT((L2:L32="Mar")*(I2:I32)*(E2:E32))/SUMIFS(E2:E32,L2:L32,"Mar")</f>
        <v>1421.16487455197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5" t="s">
        <v>84</v>
      </c>
      <c r="B1" s="5" t="s">
        <v>304</v>
      </c>
      <c r="C1" s="5" t="s">
        <v>305</v>
      </c>
      <c r="D1" s="5" t="s">
        <v>306</v>
      </c>
      <c r="E1" s="5" t="s">
        <v>307</v>
      </c>
      <c r="F1" s="5" t="s">
        <v>308</v>
      </c>
      <c r="G1" s="5" t="s">
        <v>309</v>
      </c>
      <c r="H1" s="5" t="s">
        <v>95</v>
      </c>
    </row>
    <row r="2" customFormat="false" ht="15" hidden="false" customHeight="true" outlineLevel="0" collapsed="false">
      <c r="A2" s="1" t="n">
        <v>1001</v>
      </c>
      <c r="B2" s="1" t="s">
        <v>310</v>
      </c>
      <c r="C2" s="1" t="s">
        <v>311</v>
      </c>
      <c r="D2" s="17" t="n">
        <v>852</v>
      </c>
      <c r="E2" s="17" t="n">
        <v>1320</v>
      </c>
      <c r="F2" s="17" t="n">
        <v>163</v>
      </c>
      <c r="G2" s="1" t="s">
        <v>312</v>
      </c>
      <c r="H2" s="1" t="s">
        <v>2</v>
      </c>
    </row>
    <row r="3" customFormat="false" ht="15" hidden="false" customHeight="true" outlineLevel="0" collapsed="false">
      <c r="A3" s="1" t="n">
        <v>1001</v>
      </c>
      <c r="B3" s="1" t="s">
        <v>310</v>
      </c>
      <c r="C3" s="1" t="s">
        <v>313</v>
      </c>
      <c r="D3" s="17" t="n">
        <v>774</v>
      </c>
      <c r="E3" s="17" t="n">
        <v>983</v>
      </c>
      <c r="F3" s="17" t="n">
        <v>114</v>
      </c>
      <c r="G3" s="1" t="s">
        <v>312</v>
      </c>
      <c r="H3" s="1" t="s">
        <v>2</v>
      </c>
    </row>
    <row r="4" customFormat="false" ht="15" hidden="false" customHeight="true" outlineLevel="0" collapsed="false">
      <c r="A4" s="1" t="n">
        <v>1002</v>
      </c>
      <c r="B4" s="1" t="s">
        <v>310</v>
      </c>
      <c r="C4" s="1" t="s">
        <v>311</v>
      </c>
      <c r="D4" s="17" t="n">
        <v>758</v>
      </c>
      <c r="E4" s="17" t="n">
        <v>994</v>
      </c>
      <c r="F4" s="17" t="n">
        <v>223</v>
      </c>
      <c r="G4" s="1" t="s">
        <v>312</v>
      </c>
      <c r="H4" s="1" t="s">
        <v>2</v>
      </c>
    </row>
    <row r="5" customFormat="false" ht="15" hidden="false" customHeight="true" outlineLevel="0" collapsed="false">
      <c r="A5" s="1" t="n">
        <v>1002</v>
      </c>
      <c r="B5" s="1" t="s">
        <v>310</v>
      </c>
      <c r="C5" s="1" t="s">
        <v>311</v>
      </c>
      <c r="D5" s="17" t="n">
        <v>640</v>
      </c>
      <c r="E5" s="17" t="n">
        <v>970</v>
      </c>
      <c r="F5" s="17" t="n">
        <v>103</v>
      </c>
      <c r="G5" s="1" t="s">
        <v>312</v>
      </c>
      <c r="H5" s="1" t="s">
        <v>2</v>
      </c>
    </row>
    <row r="6" customFormat="false" ht="15" hidden="false" customHeight="true" outlineLevel="0" collapsed="false">
      <c r="A6" s="1" t="n">
        <v>1002</v>
      </c>
      <c r="B6" s="1" t="s">
        <v>310</v>
      </c>
      <c r="C6" s="1" t="s">
        <v>314</v>
      </c>
      <c r="D6" s="17" t="n">
        <v>566</v>
      </c>
      <c r="E6" s="17" t="n">
        <v>981</v>
      </c>
      <c r="F6" s="17" t="n">
        <v>198</v>
      </c>
      <c r="G6" s="1" t="s">
        <v>312</v>
      </c>
      <c r="H6" s="1" t="s">
        <v>2</v>
      </c>
    </row>
    <row r="7" customFormat="false" ht="15" hidden="false" customHeight="true" outlineLevel="0" collapsed="false">
      <c r="A7" s="1" t="n">
        <v>1003</v>
      </c>
      <c r="B7" s="1" t="s">
        <v>310</v>
      </c>
      <c r="C7" s="1" t="s">
        <v>315</v>
      </c>
      <c r="D7" s="17" t="n">
        <v>616</v>
      </c>
      <c r="E7" s="17" t="n">
        <v>1813</v>
      </c>
      <c r="F7" s="17" t="n">
        <v>350</v>
      </c>
      <c r="G7" s="1" t="s">
        <v>316</v>
      </c>
      <c r="H7" s="1" t="s">
        <v>2</v>
      </c>
    </row>
    <row r="8" customFormat="false" ht="15" hidden="false" customHeight="true" outlineLevel="0" collapsed="false">
      <c r="A8" s="1" t="n">
        <v>1003</v>
      </c>
      <c r="B8" s="1" t="s">
        <v>310</v>
      </c>
      <c r="C8" s="1" t="s">
        <v>311</v>
      </c>
      <c r="D8" s="17" t="n">
        <v>366</v>
      </c>
      <c r="E8" s="17" t="n">
        <v>1565</v>
      </c>
      <c r="F8" s="17" t="n">
        <v>344</v>
      </c>
      <c r="G8" s="1" t="s">
        <v>316</v>
      </c>
      <c r="H8" s="1" t="s">
        <v>2</v>
      </c>
    </row>
    <row r="9" customFormat="false" ht="15" hidden="false" customHeight="true" outlineLevel="0" collapsed="false">
      <c r="A9" s="1" t="n">
        <v>1004</v>
      </c>
      <c r="B9" s="1" t="s">
        <v>310</v>
      </c>
      <c r="C9" s="1" t="s">
        <v>314</v>
      </c>
      <c r="D9" s="17" t="n">
        <v>383</v>
      </c>
      <c r="E9" s="17" t="n">
        <v>1337</v>
      </c>
      <c r="F9" s="17" t="n">
        <v>319</v>
      </c>
      <c r="G9" s="1" t="s">
        <v>312</v>
      </c>
      <c r="H9" s="1" t="s">
        <v>2</v>
      </c>
    </row>
    <row r="10" customFormat="false" ht="15" hidden="false" customHeight="true" outlineLevel="0" collapsed="false">
      <c r="A10" s="1" t="n">
        <v>1004</v>
      </c>
      <c r="B10" s="1" t="s">
        <v>310</v>
      </c>
      <c r="C10" s="1" t="s">
        <v>313</v>
      </c>
      <c r="D10" s="17" t="n">
        <v>885</v>
      </c>
      <c r="E10" s="17" t="n">
        <v>1969</v>
      </c>
      <c r="F10" s="17" t="n">
        <v>413</v>
      </c>
      <c r="G10" s="1" t="s">
        <v>316</v>
      </c>
      <c r="H10" s="1" t="s">
        <v>2</v>
      </c>
    </row>
    <row r="11" customFormat="false" ht="15" hidden="false" customHeight="true" outlineLevel="0" collapsed="false">
      <c r="A11" s="1" t="n">
        <v>1005</v>
      </c>
      <c r="B11" s="1" t="s">
        <v>310</v>
      </c>
      <c r="C11" s="1" t="s">
        <v>314</v>
      </c>
      <c r="D11" s="17" t="n">
        <v>591</v>
      </c>
      <c r="E11" s="17" t="n">
        <v>1684</v>
      </c>
      <c r="F11" s="17" t="n">
        <v>178</v>
      </c>
      <c r="G11" s="1" t="s">
        <v>312</v>
      </c>
      <c r="H11" s="1" t="s">
        <v>2</v>
      </c>
    </row>
    <row r="12" customFormat="false" ht="15" hidden="false" customHeight="true" outlineLevel="0" collapsed="false">
      <c r="A12" s="1" t="n">
        <v>1006</v>
      </c>
      <c r="B12" s="1" t="s">
        <v>310</v>
      </c>
      <c r="C12" s="1" t="s">
        <v>313</v>
      </c>
      <c r="D12" s="17" t="n">
        <v>558</v>
      </c>
      <c r="E12" s="17" t="n">
        <v>1070</v>
      </c>
      <c r="F12" s="17" t="n">
        <v>238</v>
      </c>
      <c r="G12" s="1" t="s">
        <v>312</v>
      </c>
      <c r="H12" s="1" t="s">
        <v>2</v>
      </c>
    </row>
    <row r="13" customFormat="false" ht="15" hidden="false" customHeight="true" outlineLevel="0" collapsed="false">
      <c r="A13" s="1" t="n">
        <v>1007</v>
      </c>
      <c r="B13" s="1" t="s">
        <v>310</v>
      </c>
      <c r="C13" s="1" t="s">
        <v>314</v>
      </c>
      <c r="D13" s="17" t="n">
        <v>875</v>
      </c>
      <c r="E13" s="17" t="n">
        <v>1272</v>
      </c>
      <c r="F13" s="17" t="n">
        <v>203</v>
      </c>
      <c r="G13" s="1" t="s">
        <v>312</v>
      </c>
      <c r="H13" s="1" t="s">
        <v>2</v>
      </c>
    </row>
    <row r="14" customFormat="false" ht="15" hidden="false" customHeight="true" outlineLevel="0" collapsed="false">
      <c r="A14" s="1" t="n">
        <v>1008</v>
      </c>
      <c r="B14" s="1" t="s">
        <v>310</v>
      </c>
      <c r="C14" s="1" t="s">
        <v>317</v>
      </c>
      <c r="D14" s="17" t="n">
        <v>559</v>
      </c>
      <c r="E14" s="17" t="n">
        <v>1415</v>
      </c>
      <c r="F14" s="17" t="n">
        <v>249</v>
      </c>
      <c r="G14" s="1" t="s">
        <v>312</v>
      </c>
      <c r="H14" s="1" t="s">
        <v>2</v>
      </c>
    </row>
    <row r="15" customFormat="false" ht="15" hidden="false" customHeight="true" outlineLevel="0" collapsed="false">
      <c r="A15" s="1" t="n">
        <v>1009</v>
      </c>
      <c r="B15" s="1" t="s">
        <v>310</v>
      </c>
      <c r="C15" s="1" t="s">
        <v>317</v>
      </c>
      <c r="D15" s="17" t="n">
        <v>228</v>
      </c>
      <c r="E15" s="17" t="n">
        <v>546</v>
      </c>
      <c r="F15" s="17" t="n">
        <v>126</v>
      </c>
      <c r="G15" s="1" t="s">
        <v>312</v>
      </c>
      <c r="H15" s="1" t="s">
        <v>2</v>
      </c>
    </row>
    <row r="16" customFormat="false" ht="15" hidden="false" customHeight="true" outlineLevel="0" collapsed="false">
      <c r="A16" s="1" t="n">
        <v>1009</v>
      </c>
      <c r="B16" s="1" t="s">
        <v>310</v>
      </c>
      <c r="C16" s="1" t="s">
        <v>315</v>
      </c>
      <c r="D16" s="17" t="n">
        <v>471</v>
      </c>
      <c r="E16" s="17" t="n">
        <v>710</v>
      </c>
      <c r="F16" s="17" t="n">
        <v>82</v>
      </c>
      <c r="G16" s="1" t="s">
        <v>312</v>
      </c>
      <c r="H16" s="1" t="s">
        <v>2</v>
      </c>
    </row>
    <row r="17" customFormat="false" ht="15" hidden="false" customHeight="true" outlineLevel="0" collapsed="false">
      <c r="A17" s="1" t="n">
        <v>1009</v>
      </c>
      <c r="B17" s="1" t="s">
        <v>310</v>
      </c>
      <c r="C17" s="1" t="s">
        <v>317</v>
      </c>
      <c r="D17" s="17" t="n">
        <v>646</v>
      </c>
      <c r="E17" s="17" t="n">
        <v>1466</v>
      </c>
      <c r="F17" s="17" t="n">
        <v>363</v>
      </c>
      <c r="G17" s="1" t="s">
        <v>316</v>
      </c>
      <c r="H17" s="1" t="s">
        <v>2</v>
      </c>
    </row>
    <row r="18" customFormat="false" ht="15" hidden="false" customHeight="true" outlineLevel="0" collapsed="false">
      <c r="A18" s="1" t="n">
        <v>1010</v>
      </c>
      <c r="B18" s="1" t="s">
        <v>310</v>
      </c>
      <c r="C18" s="1" t="s">
        <v>311</v>
      </c>
      <c r="D18" s="17" t="n">
        <v>460</v>
      </c>
      <c r="E18" s="17" t="n">
        <v>705</v>
      </c>
      <c r="F18" s="17" t="n">
        <v>145</v>
      </c>
      <c r="G18" s="1" t="s">
        <v>316</v>
      </c>
      <c r="H18" s="1" t="s">
        <v>2</v>
      </c>
    </row>
    <row r="19" customFormat="false" ht="15" hidden="false" customHeight="true" outlineLevel="0" collapsed="false">
      <c r="A19" s="1" t="n">
        <v>1010</v>
      </c>
      <c r="B19" s="1" t="s">
        <v>310</v>
      </c>
      <c r="C19" s="1" t="s">
        <v>315</v>
      </c>
      <c r="D19" s="17" t="n">
        <v>886</v>
      </c>
      <c r="E19" s="17" t="n">
        <v>1287</v>
      </c>
      <c r="F19" s="17" t="n">
        <v>199</v>
      </c>
      <c r="G19" s="1" t="s">
        <v>316</v>
      </c>
      <c r="H19" s="1" t="s">
        <v>2</v>
      </c>
    </row>
    <row r="20" customFormat="false" ht="15" hidden="false" customHeight="true" outlineLevel="0" collapsed="false">
      <c r="A20" s="1" t="n">
        <v>1010</v>
      </c>
      <c r="B20" s="1" t="s">
        <v>310</v>
      </c>
      <c r="C20" s="1" t="s">
        <v>317</v>
      </c>
      <c r="D20" s="17" t="n">
        <v>838</v>
      </c>
      <c r="E20" s="17" t="n">
        <v>1359</v>
      </c>
      <c r="F20" s="17" t="n">
        <v>271</v>
      </c>
      <c r="G20" s="1" t="s">
        <v>316</v>
      </c>
      <c r="H20" s="1" t="s">
        <v>2</v>
      </c>
    </row>
    <row r="21" customFormat="false" ht="15" hidden="false" customHeight="true" outlineLevel="0" collapsed="false">
      <c r="A21" s="1" t="n">
        <v>1011</v>
      </c>
      <c r="B21" s="1" t="s">
        <v>310</v>
      </c>
      <c r="C21" s="1" t="s">
        <v>315</v>
      </c>
      <c r="D21" s="17" t="n">
        <v>516</v>
      </c>
      <c r="E21" s="17" t="n">
        <v>1398</v>
      </c>
      <c r="F21" s="17" t="n">
        <v>225</v>
      </c>
      <c r="G21" s="1" t="s">
        <v>312</v>
      </c>
      <c r="H21" s="1" t="s">
        <v>2</v>
      </c>
    </row>
    <row r="22" customFormat="false" ht="15" hidden="false" customHeight="true" outlineLevel="0" collapsed="false">
      <c r="A22" s="1" t="n">
        <v>1011</v>
      </c>
      <c r="B22" s="1" t="s">
        <v>310</v>
      </c>
      <c r="C22" s="1" t="s">
        <v>317</v>
      </c>
      <c r="D22" s="17" t="n">
        <v>767</v>
      </c>
      <c r="E22" s="17" t="n">
        <v>1097</v>
      </c>
      <c r="F22" s="17" t="n">
        <v>141</v>
      </c>
      <c r="G22" s="1" t="s">
        <v>312</v>
      </c>
      <c r="H22" s="1" t="s">
        <v>2</v>
      </c>
    </row>
    <row r="23" customFormat="false" ht="15" hidden="false" customHeight="true" outlineLevel="0" collapsed="false">
      <c r="A23" s="1" t="n">
        <v>1012</v>
      </c>
      <c r="B23" s="1" t="s">
        <v>310</v>
      </c>
      <c r="C23" s="1" t="s">
        <v>311</v>
      </c>
      <c r="D23" s="17" t="n">
        <v>830</v>
      </c>
      <c r="E23" s="17" t="n">
        <v>1612</v>
      </c>
      <c r="F23" s="17" t="n">
        <v>233</v>
      </c>
      <c r="G23" s="1" t="s">
        <v>312</v>
      </c>
      <c r="H23" s="1" t="s">
        <v>2</v>
      </c>
    </row>
    <row r="24" customFormat="false" ht="15" hidden="false" customHeight="true" outlineLevel="0" collapsed="false">
      <c r="A24" s="1" t="n">
        <v>1012</v>
      </c>
      <c r="B24" s="1" t="s">
        <v>310</v>
      </c>
      <c r="C24" s="1" t="s">
        <v>314</v>
      </c>
      <c r="D24" s="17" t="n">
        <v>511</v>
      </c>
      <c r="E24" s="17" t="n">
        <v>1004</v>
      </c>
      <c r="F24" s="17" t="n">
        <v>132</v>
      </c>
      <c r="G24" s="1" t="s">
        <v>312</v>
      </c>
      <c r="H24" s="1" t="s">
        <v>2</v>
      </c>
    </row>
    <row r="25" customFormat="false" ht="15" hidden="false" customHeight="true" outlineLevel="0" collapsed="false">
      <c r="A25" s="1" t="n">
        <v>1013</v>
      </c>
      <c r="B25" s="1" t="s">
        <v>310</v>
      </c>
      <c r="C25" s="1" t="s">
        <v>317</v>
      </c>
      <c r="D25" s="17" t="n">
        <v>676</v>
      </c>
      <c r="E25" s="17" t="n">
        <v>1328</v>
      </c>
      <c r="F25" s="17" t="n">
        <v>220</v>
      </c>
      <c r="G25" s="1" t="s">
        <v>316</v>
      </c>
      <c r="H25" s="1" t="s">
        <v>2</v>
      </c>
    </row>
    <row r="26" customFormat="false" ht="15" hidden="false" customHeight="true" outlineLevel="0" collapsed="false">
      <c r="A26" s="1" t="n">
        <v>1013</v>
      </c>
      <c r="B26" s="1" t="s">
        <v>310</v>
      </c>
      <c r="C26" s="1" t="s">
        <v>313</v>
      </c>
      <c r="D26" s="17" t="n">
        <v>373</v>
      </c>
      <c r="E26" s="17" t="n">
        <v>1247</v>
      </c>
      <c r="F26" s="17" t="n">
        <v>140</v>
      </c>
      <c r="G26" s="1" t="s">
        <v>312</v>
      </c>
      <c r="H26" s="1" t="s">
        <v>2</v>
      </c>
    </row>
    <row r="27" customFormat="false" ht="15" hidden="false" customHeight="true" outlineLevel="0" collapsed="false">
      <c r="A27" s="1" t="n">
        <v>1013</v>
      </c>
      <c r="B27" s="1" t="s">
        <v>310</v>
      </c>
      <c r="C27" s="1" t="s">
        <v>315</v>
      </c>
      <c r="D27" s="17" t="n">
        <v>543</v>
      </c>
      <c r="E27" s="17" t="n">
        <v>838</v>
      </c>
      <c r="F27" s="17" t="n">
        <v>186</v>
      </c>
      <c r="G27" s="1" t="s">
        <v>312</v>
      </c>
      <c r="H27" s="1" t="s">
        <v>2</v>
      </c>
    </row>
    <row r="28" customFormat="false" ht="15" hidden="false" customHeight="true" outlineLevel="0" collapsed="false">
      <c r="A28" s="1" t="n">
        <v>1014</v>
      </c>
      <c r="B28" s="1" t="s">
        <v>310</v>
      </c>
      <c r="C28" s="1" t="s">
        <v>317</v>
      </c>
      <c r="D28" s="17" t="n">
        <v>430</v>
      </c>
      <c r="E28" s="17" t="n">
        <v>1455</v>
      </c>
      <c r="F28" s="17" t="n">
        <v>188</v>
      </c>
      <c r="G28" s="1" t="s">
        <v>316</v>
      </c>
      <c r="H28" s="1" t="s">
        <v>3</v>
      </c>
    </row>
    <row r="29" customFormat="false" ht="15" hidden="false" customHeight="true" outlineLevel="0" collapsed="false">
      <c r="A29" s="1" t="n">
        <v>1014</v>
      </c>
      <c r="B29" s="1" t="s">
        <v>310</v>
      </c>
      <c r="C29" s="1" t="s">
        <v>311</v>
      </c>
      <c r="D29" s="17" t="n">
        <v>686</v>
      </c>
      <c r="E29" s="17" t="n">
        <v>1511</v>
      </c>
      <c r="F29" s="17" t="n">
        <v>343</v>
      </c>
      <c r="G29" s="1" t="s">
        <v>316</v>
      </c>
      <c r="H29" s="1" t="s">
        <v>3</v>
      </c>
    </row>
    <row r="30" customFormat="false" ht="15" hidden="false" customHeight="true" outlineLevel="0" collapsed="false">
      <c r="A30" s="1" t="n">
        <v>1014</v>
      </c>
      <c r="B30" s="1" t="s">
        <v>310</v>
      </c>
      <c r="C30" s="1" t="s">
        <v>313</v>
      </c>
      <c r="D30" s="17" t="n">
        <v>844</v>
      </c>
      <c r="E30" s="17" t="n">
        <v>1633</v>
      </c>
      <c r="F30" s="17" t="n">
        <v>210</v>
      </c>
      <c r="G30" s="1" t="s">
        <v>312</v>
      </c>
      <c r="H30" s="1" t="s">
        <v>3</v>
      </c>
    </row>
    <row r="31" customFormat="false" ht="15" hidden="false" customHeight="true" outlineLevel="0" collapsed="false">
      <c r="A31" s="1" t="n">
        <v>1015</v>
      </c>
      <c r="B31" s="1" t="s">
        <v>310</v>
      </c>
      <c r="C31" s="1" t="s">
        <v>313</v>
      </c>
      <c r="D31" s="17" t="n">
        <v>449</v>
      </c>
      <c r="E31" s="17" t="n">
        <v>800</v>
      </c>
      <c r="F31" s="17" t="n">
        <v>158</v>
      </c>
      <c r="G31" s="1" t="s">
        <v>316</v>
      </c>
      <c r="H31" s="1" t="s">
        <v>3</v>
      </c>
    </row>
    <row r="32" customFormat="false" ht="15" hidden="false" customHeight="true" outlineLevel="0" collapsed="false">
      <c r="A32" s="1" t="n">
        <v>1015</v>
      </c>
      <c r="B32" s="1" t="s">
        <v>310</v>
      </c>
      <c r="C32" s="1" t="s">
        <v>314</v>
      </c>
      <c r="D32" s="17" t="n">
        <v>635</v>
      </c>
      <c r="E32" s="17" t="n">
        <v>1059</v>
      </c>
      <c r="F32" s="17" t="n">
        <v>133</v>
      </c>
      <c r="G32" s="1" t="s">
        <v>312</v>
      </c>
      <c r="H32" s="1" t="s">
        <v>3</v>
      </c>
    </row>
    <row r="33" customFormat="false" ht="15" hidden="false" customHeight="true" outlineLevel="0" collapsed="false">
      <c r="A33" s="1" t="n">
        <v>1016</v>
      </c>
      <c r="B33" s="1" t="s">
        <v>310</v>
      </c>
      <c r="C33" s="1" t="s">
        <v>313</v>
      </c>
      <c r="D33" s="17" t="n">
        <v>251</v>
      </c>
      <c r="E33" s="17" t="n">
        <v>1021</v>
      </c>
      <c r="F33" s="17" t="n">
        <v>140</v>
      </c>
      <c r="G33" s="1" t="s">
        <v>312</v>
      </c>
      <c r="H33" s="1" t="s">
        <v>3</v>
      </c>
    </row>
    <row r="34" customFormat="false" ht="15" hidden="false" customHeight="true" outlineLevel="0" collapsed="false">
      <c r="A34" s="1" t="n">
        <v>1016</v>
      </c>
      <c r="B34" s="1" t="s">
        <v>310</v>
      </c>
      <c r="C34" s="1" t="s">
        <v>313</v>
      </c>
      <c r="D34" s="17" t="n">
        <v>336</v>
      </c>
      <c r="E34" s="17" t="n">
        <v>1356</v>
      </c>
      <c r="F34" s="17" t="n">
        <v>230</v>
      </c>
      <c r="G34" s="1" t="s">
        <v>312</v>
      </c>
      <c r="H34" s="1" t="s">
        <v>3</v>
      </c>
    </row>
    <row r="35" customFormat="false" ht="15" hidden="false" customHeight="true" outlineLevel="0" collapsed="false">
      <c r="A35" s="1" t="n">
        <v>1016</v>
      </c>
      <c r="B35" s="1" t="s">
        <v>310</v>
      </c>
      <c r="C35" s="1" t="s">
        <v>315</v>
      </c>
      <c r="D35" s="17" t="n">
        <v>809</v>
      </c>
      <c r="E35" s="17" t="n">
        <v>1333</v>
      </c>
      <c r="F35" s="17" t="n">
        <v>323</v>
      </c>
      <c r="G35" s="1" t="s">
        <v>312</v>
      </c>
      <c r="H35" s="1" t="s">
        <v>3</v>
      </c>
    </row>
    <row r="36" customFormat="false" ht="15" hidden="false" customHeight="true" outlineLevel="0" collapsed="false">
      <c r="A36" s="1" t="n">
        <v>1017</v>
      </c>
      <c r="B36" s="1" t="s">
        <v>310</v>
      </c>
      <c r="C36" s="1" t="s">
        <v>315</v>
      </c>
      <c r="D36" s="17" t="n">
        <v>636</v>
      </c>
      <c r="E36" s="17" t="n">
        <v>1686</v>
      </c>
      <c r="F36" s="17" t="n">
        <v>397</v>
      </c>
      <c r="G36" s="1" t="s">
        <v>312</v>
      </c>
      <c r="H36" s="1" t="s">
        <v>3</v>
      </c>
    </row>
    <row r="37" customFormat="false" ht="15" hidden="false" customHeight="true" outlineLevel="0" collapsed="false">
      <c r="A37" s="1" t="n">
        <v>1017</v>
      </c>
      <c r="B37" s="1" t="s">
        <v>310</v>
      </c>
      <c r="C37" s="1" t="s">
        <v>311</v>
      </c>
      <c r="D37" s="17" t="n">
        <v>686</v>
      </c>
      <c r="E37" s="17" t="n">
        <v>1346</v>
      </c>
      <c r="F37" s="17" t="n">
        <v>186</v>
      </c>
      <c r="G37" s="1" t="s">
        <v>316</v>
      </c>
      <c r="H37" s="1" t="s">
        <v>3</v>
      </c>
    </row>
    <row r="38" customFormat="false" ht="15" hidden="false" customHeight="true" outlineLevel="0" collapsed="false">
      <c r="A38" s="1" t="n">
        <v>1017</v>
      </c>
      <c r="B38" s="1" t="s">
        <v>310</v>
      </c>
      <c r="C38" s="1" t="s">
        <v>317</v>
      </c>
      <c r="D38" s="17" t="n">
        <v>733</v>
      </c>
      <c r="E38" s="17" t="n">
        <v>1429</v>
      </c>
      <c r="F38" s="17" t="n">
        <v>277</v>
      </c>
      <c r="G38" s="1" t="s">
        <v>312</v>
      </c>
      <c r="H38" s="1" t="s">
        <v>3</v>
      </c>
    </row>
    <row r="39" customFormat="false" ht="15" hidden="false" customHeight="true" outlineLevel="0" collapsed="false">
      <c r="A39" s="1" t="n">
        <v>1018</v>
      </c>
      <c r="B39" s="1" t="s">
        <v>310</v>
      </c>
      <c r="C39" s="1" t="s">
        <v>317</v>
      </c>
      <c r="D39" s="17" t="n">
        <v>440</v>
      </c>
      <c r="E39" s="17" t="n">
        <v>918</v>
      </c>
      <c r="F39" s="17" t="n">
        <v>138</v>
      </c>
      <c r="G39" s="1" t="s">
        <v>312</v>
      </c>
      <c r="H39" s="1" t="s">
        <v>3</v>
      </c>
    </row>
    <row r="40" customFormat="false" ht="15" hidden="false" customHeight="true" outlineLevel="0" collapsed="false">
      <c r="A40" s="1" t="n">
        <v>1019</v>
      </c>
      <c r="B40" s="1" t="s">
        <v>310</v>
      </c>
      <c r="C40" s="1" t="s">
        <v>311</v>
      </c>
      <c r="D40" s="17" t="n">
        <v>354</v>
      </c>
      <c r="E40" s="17" t="n">
        <v>790</v>
      </c>
      <c r="F40" s="17" t="n">
        <v>124</v>
      </c>
      <c r="G40" s="1" t="s">
        <v>316</v>
      </c>
      <c r="H40" s="1" t="s">
        <v>3</v>
      </c>
    </row>
    <row r="41" customFormat="false" ht="15" hidden="false" customHeight="true" outlineLevel="0" collapsed="false">
      <c r="A41" s="1" t="n">
        <v>1020</v>
      </c>
      <c r="B41" s="1" t="s">
        <v>310</v>
      </c>
      <c r="C41" s="1" t="s">
        <v>314</v>
      </c>
      <c r="D41" s="17" t="n">
        <v>624</v>
      </c>
      <c r="E41" s="17" t="n">
        <v>1241</v>
      </c>
      <c r="F41" s="17" t="n">
        <v>185</v>
      </c>
      <c r="G41" s="1" t="s">
        <v>312</v>
      </c>
      <c r="H41" s="1" t="s">
        <v>3</v>
      </c>
    </row>
    <row r="42" customFormat="false" ht="15" hidden="false" customHeight="true" outlineLevel="0" collapsed="false">
      <c r="A42" s="1" t="n">
        <v>1021</v>
      </c>
      <c r="B42" s="1" t="s">
        <v>310</v>
      </c>
      <c r="C42" s="1" t="s">
        <v>311</v>
      </c>
      <c r="D42" s="17" t="n">
        <v>630</v>
      </c>
      <c r="E42" s="17" t="n">
        <v>1228</v>
      </c>
      <c r="F42" s="17" t="n">
        <v>289</v>
      </c>
      <c r="G42" s="1" t="s">
        <v>312</v>
      </c>
      <c r="H42" s="1" t="s">
        <v>3</v>
      </c>
    </row>
    <row r="43" customFormat="false" ht="15" hidden="false" customHeight="true" outlineLevel="0" collapsed="false">
      <c r="A43" s="1" t="n">
        <v>1022</v>
      </c>
      <c r="B43" s="1" t="s">
        <v>310</v>
      </c>
      <c r="C43" s="1" t="s">
        <v>314</v>
      </c>
      <c r="D43" s="17" t="n">
        <v>789</v>
      </c>
      <c r="E43" s="17" t="n">
        <v>1378</v>
      </c>
      <c r="F43" s="17" t="n">
        <v>236</v>
      </c>
      <c r="G43" s="1" t="s">
        <v>312</v>
      </c>
      <c r="H43" s="1" t="s">
        <v>3</v>
      </c>
    </row>
    <row r="44" customFormat="false" ht="15" hidden="false" customHeight="true" outlineLevel="0" collapsed="false">
      <c r="A44" s="1" t="n">
        <v>1022</v>
      </c>
      <c r="B44" s="1" t="s">
        <v>310</v>
      </c>
      <c r="C44" s="1" t="s">
        <v>317</v>
      </c>
      <c r="D44" s="17" t="n">
        <v>599</v>
      </c>
      <c r="E44" s="17" t="n">
        <v>1672</v>
      </c>
      <c r="F44" s="17" t="n">
        <v>390</v>
      </c>
      <c r="G44" s="1" t="s">
        <v>312</v>
      </c>
      <c r="H44" s="1" t="s">
        <v>3</v>
      </c>
    </row>
    <row r="45" customFormat="false" ht="15" hidden="false" customHeight="true" outlineLevel="0" collapsed="false">
      <c r="A45" s="1" t="n">
        <v>1022</v>
      </c>
      <c r="B45" s="1" t="s">
        <v>310</v>
      </c>
      <c r="C45" s="1" t="s">
        <v>315</v>
      </c>
      <c r="D45" s="17" t="n">
        <v>759</v>
      </c>
      <c r="E45" s="17" t="n">
        <v>1778</v>
      </c>
      <c r="F45" s="17" t="n">
        <v>338</v>
      </c>
      <c r="G45" s="1" t="s">
        <v>316</v>
      </c>
      <c r="H45" s="1" t="s">
        <v>3</v>
      </c>
    </row>
    <row r="46" customFormat="false" ht="15" hidden="false" customHeight="true" outlineLevel="0" collapsed="false">
      <c r="A46" s="1" t="n">
        <v>1023</v>
      </c>
      <c r="B46" s="1" t="s">
        <v>310</v>
      </c>
      <c r="C46" s="1" t="s">
        <v>317</v>
      </c>
      <c r="D46" s="17" t="n">
        <v>646</v>
      </c>
      <c r="E46" s="17" t="n">
        <v>1343</v>
      </c>
      <c r="F46" s="17" t="n">
        <v>140</v>
      </c>
      <c r="G46" s="1" t="s">
        <v>312</v>
      </c>
      <c r="H46" s="1" t="s">
        <v>3</v>
      </c>
    </row>
    <row r="47" customFormat="false" ht="15" hidden="false" customHeight="true" outlineLevel="0" collapsed="false">
      <c r="A47" s="1" t="n">
        <v>1024</v>
      </c>
      <c r="B47" s="1" t="s">
        <v>310</v>
      </c>
      <c r="C47" s="1" t="s">
        <v>313</v>
      </c>
      <c r="D47" s="17" t="n">
        <v>369</v>
      </c>
      <c r="E47" s="17" t="n">
        <v>1429</v>
      </c>
      <c r="F47" s="17" t="n">
        <v>243</v>
      </c>
      <c r="G47" s="1" t="s">
        <v>316</v>
      </c>
      <c r="H47" s="1" t="s">
        <v>3</v>
      </c>
    </row>
    <row r="48" customFormat="false" ht="15" hidden="false" customHeight="true" outlineLevel="0" collapsed="false">
      <c r="A48" s="1" t="n">
        <v>1024</v>
      </c>
      <c r="B48" s="1" t="s">
        <v>310</v>
      </c>
      <c r="C48" s="1" t="s">
        <v>315</v>
      </c>
      <c r="D48" s="17" t="n">
        <v>746</v>
      </c>
      <c r="E48" s="17" t="n">
        <v>973</v>
      </c>
      <c r="F48" s="17" t="n">
        <v>229</v>
      </c>
      <c r="G48" s="1" t="s">
        <v>312</v>
      </c>
      <c r="H48" s="1" t="s">
        <v>3</v>
      </c>
    </row>
    <row r="49" customFormat="false" ht="15" hidden="false" customHeight="true" outlineLevel="0" collapsed="false">
      <c r="A49" s="1" t="n">
        <v>1024</v>
      </c>
      <c r="B49" s="1" t="s">
        <v>310</v>
      </c>
      <c r="C49" s="1" t="s">
        <v>314</v>
      </c>
      <c r="D49" s="17" t="n">
        <v>285</v>
      </c>
      <c r="E49" s="17" t="n">
        <v>1143</v>
      </c>
      <c r="F49" s="17" t="n">
        <v>187</v>
      </c>
      <c r="G49" s="1" t="s">
        <v>312</v>
      </c>
      <c r="H49" s="1" t="s">
        <v>3</v>
      </c>
    </row>
    <row r="50" customFormat="false" ht="15" hidden="false" customHeight="true" outlineLevel="0" collapsed="false">
      <c r="A50" s="1" t="n">
        <v>1025</v>
      </c>
      <c r="B50" s="1" t="s">
        <v>310</v>
      </c>
      <c r="C50" s="1" t="s">
        <v>314</v>
      </c>
      <c r="D50" s="17" t="n">
        <v>466</v>
      </c>
      <c r="E50" s="17" t="n">
        <v>1054</v>
      </c>
      <c r="F50" s="17" t="n">
        <v>157</v>
      </c>
      <c r="G50" s="1" t="s">
        <v>312</v>
      </c>
      <c r="H50" s="1" t="s">
        <v>3</v>
      </c>
    </row>
    <row r="51" customFormat="false" ht="15" hidden="false" customHeight="true" outlineLevel="0" collapsed="false">
      <c r="A51" s="1" t="n">
        <v>1026</v>
      </c>
      <c r="B51" s="1" t="s">
        <v>310</v>
      </c>
      <c r="C51" s="1" t="s">
        <v>313</v>
      </c>
      <c r="D51" s="17" t="n">
        <v>484</v>
      </c>
      <c r="E51" s="17" t="n">
        <v>1454</v>
      </c>
      <c r="F51" s="17" t="n">
        <v>352</v>
      </c>
      <c r="G51" s="1" t="s">
        <v>312</v>
      </c>
      <c r="H51" s="1" t="s">
        <v>3</v>
      </c>
    </row>
    <row r="52" customFormat="false" ht="15" hidden="false" customHeight="true" outlineLevel="0" collapsed="false">
      <c r="A52" s="1" t="n">
        <v>1026</v>
      </c>
      <c r="B52" s="1" t="s">
        <v>310</v>
      </c>
      <c r="C52" s="1" t="s">
        <v>314</v>
      </c>
      <c r="D52" s="17" t="n">
        <v>681</v>
      </c>
      <c r="E52" s="17" t="n">
        <v>900</v>
      </c>
      <c r="F52" s="17" t="n">
        <v>191</v>
      </c>
      <c r="G52" s="1" t="s">
        <v>316</v>
      </c>
      <c r="H52" s="1" t="s">
        <v>3</v>
      </c>
    </row>
    <row r="53" customFormat="false" ht="15" hidden="false" customHeight="true" outlineLevel="0" collapsed="false">
      <c r="A53" s="1" t="n">
        <v>1027</v>
      </c>
      <c r="B53" s="1" t="s">
        <v>310</v>
      </c>
      <c r="C53" s="1" t="s">
        <v>311</v>
      </c>
      <c r="D53" s="17" t="n">
        <v>865</v>
      </c>
      <c r="E53" s="17" t="n">
        <v>1135</v>
      </c>
      <c r="F53" s="17" t="n">
        <v>246</v>
      </c>
      <c r="G53" s="1" t="s">
        <v>312</v>
      </c>
      <c r="H53" s="1" t="s">
        <v>4</v>
      </c>
    </row>
    <row r="54" customFormat="false" ht="15" hidden="false" customHeight="true" outlineLevel="0" collapsed="false">
      <c r="A54" s="1" t="n">
        <v>1027</v>
      </c>
      <c r="B54" s="1" t="s">
        <v>310</v>
      </c>
      <c r="C54" s="1" t="s">
        <v>314</v>
      </c>
      <c r="D54" s="17" t="n">
        <v>453</v>
      </c>
      <c r="E54" s="17" t="n">
        <v>857</v>
      </c>
      <c r="F54" s="17" t="n">
        <v>193</v>
      </c>
      <c r="G54" s="1" t="s">
        <v>312</v>
      </c>
      <c r="H54" s="1" t="s">
        <v>4</v>
      </c>
    </row>
    <row r="55" customFormat="false" ht="15" hidden="false" customHeight="true" outlineLevel="0" collapsed="false">
      <c r="A55" s="1" t="n">
        <v>1028</v>
      </c>
      <c r="B55" s="1" t="s">
        <v>310</v>
      </c>
      <c r="C55" s="1" t="s">
        <v>311</v>
      </c>
      <c r="D55" s="17" t="n">
        <v>684</v>
      </c>
      <c r="E55" s="17" t="n">
        <v>1569</v>
      </c>
      <c r="F55" s="17" t="n">
        <v>183</v>
      </c>
      <c r="G55" s="1" t="s">
        <v>312</v>
      </c>
      <c r="H55" s="1" t="s">
        <v>4</v>
      </c>
    </row>
    <row r="56" customFormat="false" ht="15" hidden="false" customHeight="true" outlineLevel="0" collapsed="false">
      <c r="A56" s="1" t="n">
        <v>1029</v>
      </c>
      <c r="B56" s="1" t="s">
        <v>310</v>
      </c>
      <c r="C56" s="1" t="s">
        <v>317</v>
      </c>
      <c r="D56" s="17" t="n">
        <v>577</v>
      </c>
      <c r="E56" s="17" t="n">
        <v>948</v>
      </c>
      <c r="F56" s="17" t="n">
        <v>180</v>
      </c>
      <c r="G56" s="1" t="s">
        <v>312</v>
      </c>
      <c r="H56" s="1" t="s">
        <v>4</v>
      </c>
    </row>
    <row r="57" customFormat="false" ht="15" hidden="false" customHeight="true" outlineLevel="0" collapsed="false">
      <c r="A57" s="1" t="n">
        <v>1029</v>
      </c>
      <c r="B57" s="1" t="s">
        <v>310</v>
      </c>
      <c r="C57" s="1" t="s">
        <v>314</v>
      </c>
      <c r="D57" s="17" t="n">
        <v>367</v>
      </c>
      <c r="E57" s="17" t="n">
        <v>1554</v>
      </c>
      <c r="F57" s="17" t="n">
        <v>227</v>
      </c>
      <c r="G57" s="1" t="s">
        <v>312</v>
      </c>
      <c r="H57" s="1" t="s">
        <v>4</v>
      </c>
    </row>
    <row r="58" customFormat="false" ht="15" hidden="false" customHeight="true" outlineLevel="0" collapsed="false">
      <c r="A58" s="1" t="n">
        <v>1030</v>
      </c>
      <c r="B58" s="1" t="s">
        <v>310</v>
      </c>
      <c r="C58" s="1" t="s">
        <v>315</v>
      </c>
      <c r="D58" s="17" t="n">
        <v>893</v>
      </c>
      <c r="E58" s="17" t="n">
        <v>2022</v>
      </c>
      <c r="F58" s="17" t="n">
        <v>492</v>
      </c>
      <c r="G58" s="1" t="s">
        <v>312</v>
      </c>
      <c r="H58" s="1" t="s">
        <v>4</v>
      </c>
    </row>
    <row r="59" customFormat="false" ht="15" hidden="false" customHeight="true" outlineLevel="0" collapsed="false">
      <c r="A59" s="1" t="n">
        <v>1030</v>
      </c>
      <c r="B59" s="1" t="s">
        <v>310</v>
      </c>
      <c r="C59" s="1" t="s">
        <v>311</v>
      </c>
      <c r="D59" s="17" t="n">
        <v>277</v>
      </c>
      <c r="E59" s="17" t="n">
        <v>1083</v>
      </c>
      <c r="F59" s="17" t="n">
        <v>220</v>
      </c>
      <c r="G59" s="1" t="s">
        <v>312</v>
      </c>
      <c r="H59" s="1" t="s">
        <v>4</v>
      </c>
    </row>
    <row r="60" customFormat="false" ht="15" hidden="false" customHeight="true" outlineLevel="0" collapsed="false">
      <c r="A60" s="1" t="n">
        <v>1031</v>
      </c>
      <c r="B60" s="1" t="s">
        <v>310</v>
      </c>
      <c r="C60" s="1" t="s">
        <v>317</v>
      </c>
      <c r="D60" s="17" t="n">
        <v>900</v>
      </c>
      <c r="E60" s="17" t="n">
        <v>1714</v>
      </c>
      <c r="F60" s="17" t="n">
        <v>378</v>
      </c>
      <c r="G60" s="1" t="s">
        <v>312</v>
      </c>
      <c r="H60" s="1" t="s">
        <v>4</v>
      </c>
    </row>
    <row r="61" customFormat="false" ht="15" hidden="false" customHeight="true" outlineLevel="0" collapsed="false">
      <c r="A61" s="1" t="n">
        <v>1032</v>
      </c>
      <c r="B61" s="1" t="s">
        <v>310</v>
      </c>
      <c r="C61" s="1" t="s">
        <v>314</v>
      </c>
      <c r="D61" s="17" t="n">
        <v>555</v>
      </c>
      <c r="E61" s="17" t="n">
        <v>1300</v>
      </c>
      <c r="F61" s="17" t="n">
        <v>213</v>
      </c>
      <c r="G61" s="1" t="s">
        <v>312</v>
      </c>
      <c r="H61" s="1" t="s">
        <v>4</v>
      </c>
    </row>
    <row r="62" customFormat="false" ht="15" hidden="false" customHeight="true" outlineLevel="0" collapsed="false">
      <c r="A62" s="1" t="n">
        <v>1032</v>
      </c>
      <c r="B62" s="1" t="s">
        <v>310</v>
      </c>
      <c r="C62" s="1" t="s">
        <v>315</v>
      </c>
      <c r="D62" s="17" t="n">
        <v>863</v>
      </c>
      <c r="E62" s="17" t="n">
        <v>1412</v>
      </c>
      <c r="F62" s="17" t="n">
        <v>143</v>
      </c>
      <c r="G62" s="1" t="s">
        <v>312</v>
      </c>
      <c r="H62" s="1" t="s">
        <v>4</v>
      </c>
    </row>
    <row r="63" customFormat="false" ht="15" hidden="false" customHeight="true" outlineLevel="0" collapsed="false">
      <c r="A63" s="1" t="n">
        <v>1032</v>
      </c>
      <c r="B63" s="1" t="s">
        <v>310</v>
      </c>
      <c r="C63" s="1" t="s">
        <v>313</v>
      </c>
      <c r="D63" s="17" t="n">
        <v>308</v>
      </c>
      <c r="E63" s="17" t="n">
        <v>951</v>
      </c>
      <c r="F63" s="17" t="n">
        <v>232</v>
      </c>
      <c r="G63" s="1" t="s">
        <v>312</v>
      </c>
      <c r="H63" s="1" t="s">
        <v>4</v>
      </c>
    </row>
    <row r="64" customFormat="false" ht="15" hidden="false" customHeight="true" outlineLevel="0" collapsed="false">
      <c r="A64" s="1" t="n">
        <v>1033</v>
      </c>
      <c r="B64" s="1" t="s">
        <v>310</v>
      </c>
      <c r="C64" s="1" t="s">
        <v>311</v>
      </c>
      <c r="D64" s="17" t="n">
        <v>645</v>
      </c>
      <c r="E64" s="17" t="n">
        <v>1025</v>
      </c>
      <c r="F64" s="17" t="n">
        <v>215</v>
      </c>
      <c r="G64" s="1" t="s">
        <v>312</v>
      </c>
      <c r="H64" s="1" t="s">
        <v>4</v>
      </c>
    </row>
    <row r="65" customFormat="false" ht="15" hidden="false" customHeight="true" outlineLevel="0" collapsed="false">
      <c r="A65" s="1" t="n">
        <v>1033</v>
      </c>
      <c r="B65" s="1" t="s">
        <v>310</v>
      </c>
      <c r="C65" s="1" t="s">
        <v>317</v>
      </c>
      <c r="D65" s="17" t="n">
        <v>830</v>
      </c>
      <c r="E65" s="17" t="n">
        <v>1857</v>
      </c>
      <c r="F65" s="17" t="n">
        <v>441</v>
      </c>
      <c r="G65" s="1" t="s">
        <v>312</v>
      </c>
      <c r="H65" s="1" t="s">
        <v>4</v>
      </c>
    </row>
    <row r="66" customFormat="false" ht="15" hidden="false" customHeight="true" outlineLevel="0" collapsed="false">
      <c r="A66" s="1" t="n">
        <v>1034</v>
      </c>
      <c r="B66" s="1" t="s">
        <v>310</v>
      </c>
      <c r="C66" s="1" t="s">
        <v>313</v>
      </c>
      <c r="D66" s="17" t="n">
        <v>806</v>
      </c>
      <c r="E66" s="17" t="n">
        <v>1280</v>
      </c>
      <c r="F66" s="17" t="n">
        <v>189</v>
      </c>
      <c r="G66" s="1" t="s">
        <v>316</v>
      </c>
      <c r="H66" s="1" t="s">
        <v>4</v>
      </c>
    </row>
    <row r="67" customFormat="false" ht="15" hidden="false" customHeight="true" outlineLevel="0" collapsed="false">
      <c r="A67" s="1" t="n">
        <v>1034</v>
      </c>
      <c r="B67" s="1" t="s">
        <v>310</v>
      </c>
      <c r="C67" s="1" t="s">
        <v>314</v>
      </c>
      <c r="D67" s="17" t="n">
        <v>485</v>
      </c>
      <c r="E67" s="17" t="n">
        <v>1587</v>
      </c>
      <c r="F67" s="17" t="n">
        <v>266</v>
      </c>
      <c r="G67" s="1" t="s">
        <v>312</v>
      </c>
      <c r="H67" s="1" t="s">
        <v>4</v>
      </c>
    </row>
    <row r="68" customFormat="false" ht="15" hidden="false" customHeight="true" outlineLevel="0" collapsed="false">
      <c r="A68" s="1" t="n">
        <v>1035</v>
      </c>
      <c r="B68" s="1" t="s">
        <v>310</v>
      </c>
      <c r="C68" s="1" t="s">
        <v>315</v>
      </c>
      <c r="D68" s="17" t="n">
        <v>884</v>
      </c>
      <c r="E68" s="17" t="n">
        <v>1472</v>
      </c>
      <c r="F68" s="17" t="n">
        <v>221</v>
      </c>
      <c r="G68" s="1" t="s">
        <v>312</v>
      </c>
      <c r="H68" s="1" t="s">
        <v>4</v>
      </c>
    </row>
    <row r="69" customFormat="false" ht="15" hidden="false" customHeight="true" outlineLevel="0" collapsed="false">
      <c r="A69" s="1" t="n">
        <v>1035</v>
      </c>
      <c r="B69" s="1" t="s">
        <v>310</v>
      </c>
      <c r="C69" s="1" t="s">
        <v>317</v>
      </c>
      <c r="D69" s="17" t="n">
        <v>386</v>
      </c>
      <c r="E69" s="17" t="n">
        <v>1085</v>
      </c>
      <c r="F69" s="17" t="n">
        <v>143</v>
      </c>
      <c r="G69" s="1" t="s">
        <v>312</v>
      </c>
      <c r="H69" s="1" t="s">
        <v>4</v>
      </c>
    </row>
    <row r="70" customFormat="false" ht="15" hidden="false" customHeight="true" outlineLevel="0" collapsed="false">
      <c r="A70" s="1" t="n">
        <v>1035</v>
      </c>
      <c r="B70" s="1" t="s">
        <v>310</v>
      </c>
      <c r="C70" s="1" t="s">
        <v>317</v>
      </c>
      <c r="D70" s="17" t="n">
        <v>486</v>
      </c>
      <c r="E70" s="17" t="n">
        <v>1587</v>
      </c>
      <c r="F70" s="17" t="n">
        <v>300</v>
      </c>
      <c r="G70" s="1" t="s">
        <v>312</v>
      </c>
      <c r="H70" s="1" t="s">
        <v>4</v>
      </c>
    </row>
    <row r="71" customFormat="false" ht="15" hidden="false" customHeight="true" outlineLevel="0" collapsed="false">
      <c r="A71" s="1" t="n">
        <v>1036</v>
      </c>
      <c r="B71" s="1" t="s">
        <v>310</v>
      </c>
      <c r="C71" s="1" t="s">
        <v>314</v>
      </c>
      <c r="D71" s="17" t="n">
        <v>729</v>
      </c>
      <c r="E71" s="17" t="n">
        <v>1899</v>
      </c>
      <c r="F71" s="17" t="n">
        <v>244</v>
      </c>
      <c r="G71" s="1" t="s">
        <v>316</v>
      </c>
      <c r="H71" s="1" t="s">
        <v>4</v>
      </c>
    </row>
    <row r="72" customFormat="false" ht="15" hidden="false" customHeight="true" outlineLevel="0" collapsed="false">
      <c r="A72" s="1" t="n">
        <v>1036</v>
      </c>
      <c r="B72" s="1" t="s">
        <v>310</v>
      </c>
      <c r="C72" s="1" t="s">
        <v>313</v>
      </c>
      <c r="D72" s="17" t="n">
        <v>700</v>
      </c>
      <c r="E72" s="17" t="n">
        <v>1468</v>
      </c>
      <c r="F72" s="17" t="n">
        <v>313</v>
      </c>
      <c r="G72" s="1" t="s">
        <v>312</v>
      </c>
      <c r="H72" s="1" t="s">
        <v>4</v>
      </c>
    </row>
    <row r="73" customFormat="false" ht="15" hidden="false" customHeight="true" outlineLevel="0" collapsed="false">
      <c r="A73" s="1" t="n">
        <v>1036</v>
      </c>
      <c r="B73" s="1" t="s">
        <v>310</v>
      </c>
      <c r="C73" s="1" t="s">
        <v>313</v>
      </c>
      <c r="D73" s="17" t="n">
        <v>658</v>
      </c>
      <c r="E73" s="17" t="n">
        <v>1669</v>
      </c>
      <c r="F73" s="17" t="n">
        <v>171</v>
      </c>
      <c r="G73" s="1" t="s">
        <v>312</v>
      </c>
      <c r="H73" s="1" t="s">
        <v>4</v>
      </c>
    </row>
    <row r="74" customFormat="false" ht="15" hidden="false" customHeight="true" outlineLevel="0" collapsed="false">
      <c r="A74" s="1" t="n">
        <v>1037</v>
      </c>
      <c r="B74" s="1" t="s">
        <v>310</v>
      </c>
      <c r="C74" s="1" t="s">
        <v>311</v>
      </c>
      <c r="D74" s="17" t="n">
        <v>513</v>
      </c>
      <c r="E74" s="17" t="n">
        <v>1392</v>
      </c>
      <c r="F74" s="17" t="n">
        <v>260</v>
      </c>
      <c r="G74" s="1" t="s">
        <v>312</v>
      </c>
      <c r="H74" s="1" t="s">
        <v>4</v>
      </c>
    </row>
    <row r="75" customFormat="false" ht="15" hidden="false" customHeight="true" outlineLevel="0" collapsed="false">
      <c r="A75" s="1" t="n">
        <v>1037</v>
      </c>
      <c r="B75" s="1" t="s">
        <v>310</v>
      </c>
      <c r="C75" s="1" t="s">
        <v>315</v>
      </c>
      <c r="D75" s="17" t="n">
        <v>552</v>
      </c>
      <c r="E75" s="17" t="n">
        <v>1187</v>
      </c>
      <c r="F75" s="17" t="n">
        <v>296</v>
      </c>
      <c r="G75" s="1" t="s">
        <v>312</v>
      </c>
      <c r="H75" s="1" t="s">
        <v>4</v>
      </c>
    </row>
    <row r="76" customFormat="false" ht="15" hidden="false" customHeight="true" outlineLevel="0" collapsed="false">
      <c r="A76" s="1" t="n">
        <v>1038</v>
      </c>
      <c r="B76" s="1" t="s">
        <v>310</v>
      </c>
      <c r="C76" s="1" t="s">
        <v>313</v>
      </c>
      <c r="D76" s="17" t="n">
        <v>477</v>
      </c>
      <c r="E76" s="17" t="n">
        <v>990</v>
      </c>
      <c r="F76" s="17" t="n">
        <v>136</v>
      </c>
      <c r="G76" s="1" t="s">
        <v>316</v>
      </c>
      <c r="H76" s="1" t="s">
        <v>4</v>
      </c>
    </row>
    <row r="77" customFormat="false" ht="15" hidden="false" customHeight="true" outlineLevel="0" collapsed="false">
      <c r="A77" s="1" t="n">
        <v>1038</v>
      </c>
      <c r="B77" s="1" t="s">
        <v>310</v>
      </c>
      <c r="C77" s="1" t="s">
        <v>311</v>
      </c>
      <c r="D77" s="17" t="n">
        <v>523</v>
      </c>
      <c r="E77" s="17" t="n">
        <v>845</v>
      </c>
      <c r="F77" s="17" t="n">
        <v>178</v>
      </c>
      <c r="G77" s="1" t="s">
        <v>312</v>
      </c>
      <c r="H77" s="1" t="s">
        <v>4</v>
      </c>
    </row>
    <row r="78" customFormat="false" ht="15" hidden="false" customHeight="true" outlineLevel="0" collapsed="false">
      <c r="A78" s="1" t="n">
        <v>1039</v>
      </c>
      <c r="B78" s="1" t="s">
        <v>310</v>
      </c>
      <c r="C78" s="1" t="s">
        <v>311</v>
      </c>
      <c r="D78" s="17" t="n">
        <v>396</v>
      </c>
      <c r="E78" s="17" t="n">
        <v>817</v>
      </c>
      <c r="F78" s="17" t="n">
        <v>172</v>
      </c>
      <c r="G78" s="1" t="s">
        <v>312</v>
      </c>
      <c r="H78" s="1" t="s">
        <v>4</v>
      </c>
    </row>
    <row r="79" customFormat="false" ht="15" hidden="false" customHeight="true" outlineLevel="0" collapsed="false">
      <c r="A79" s="1" t="n">
        <v>1039</v>
      </c>
      <c r="B79" s="1" t="s">
        <v>310</v>
      </c>
      <c r="C79" s="1" t="s">
        <v>315</v>
      </c>
      <c r="D79" s="17" t="n">
        <v>737</v>
      </c>
      <c r="E79" s="17" t="n">
        <v>1548</v>
      </c>
      <c r="F79" s="17" t="n">
        <v>220</v>
      </c>
      <c r="G79" s="1" t="s">
        <v>316</v>
      </c>
      <c r="H79" s="1" t="s">
        <v>4</v>
      </c>
    </row>
    <row r="80" customFormat="false" ht="15" hidden="false" customHeight="true" outlineLevel="0" collapsed="false">
      <c r="A80" s="1" t="n">
        <v>1039</v>
      </c>
      <c r="B80" s="1" t="s">
        <v>310</v>
      </c>
      <c r="C80" s="1" t="s">
        <v>311</v>
      </c>
      <c r="D80" s="17" t="n">
        <v>503</v>
      </c>
      <c r="E80" s="17" t="n">
        <v>935</v>
      </c>
      <c r="F80" s="17" t="n">
        <v>144</v>
      </c>
      <c r="G80" s="1" t="s">
        <v>312</v>
      </c>
      <c r="H80" s="1" t="s">
        <v>4</v>
      </c>
    </row>
    <row r="81" customFormat="false" ht="15" hidden="false" customHeight="true" outlineLevel="0" collapsed="false">
      <c r="A81" s="1" t="n">
        <v>1040</v>
      </c>
      <c r="B81" s="1" t="s">
        <v>310</v>
      </c>
      <c r="C81" s="1" t="s">
        <v>315</v>
      </c>
      <c r="D81" s="17" t="n">
        <v>329</v>
      </c>
      <c r="E81" s="17" t="n">
        <v>809</v>
      </c>
      <c r="F81" s="17" t="n">
        <v>86</v>
      </c>
      <c r="G81" s="1" t="s">
        <v>316</v>
      </c>
      <c r="H81" s="1" t="s">
        <v>4</v>
      </c>
    </row>
    <row r="82" customFormat="false" ht="15" hidden="false" customHeight="true" outlineLevel="0" collapsed="false">
      <c r="A82" s="1" t="n">
        <v>1040</v>
      </c>
      <c r="B82" s="1" t="s">
        <v>310</v>
      </c>
      <c r="C82" s="1" t="s">
        <v>317</v>
      </c>
      <c r="D82" s="17" t="n">
        <v>329</v>
      </c>
      <c r="E82" s="17" t="n">
        <v>1182</v>
      </c>
      <c r="F82" s="17" t="n">
        <v>272</v>
      </c>
      <c r="G82" s="1" t="s">
        <v>312</v>
      </c>
      <c r="H82" s="1" t="s">
        <v>4</v>
      </c>
    </row>
    <row r="83" customFormat="false" ht="15" hidden="false" customHeight="true" outlineLevel="0" collapsed="false">
      <c r="A83" s="1" t="n">
        <v>1040</v>
      </c>
      <c r="B83" s="1" t="s">
        <v>310</v>
      </c>
      <c r="C83" s="1" t="s">
        <v>314</v>
      </c>
      <c r="D83" s="17" t="n">
        <v>787</v>
      </c>
      <c r="E83" s="17" t="n">
        <v>1278</v>
      </c>
      <c r="F83" s="17" t="n">
        <v>217</v>
      </c>
      <c r="G83" s="1" t="s">
        <v>312</v>
      </c>
      <c r="H83" s="1" t="s">
        <v>4</v>
      </c>
    </row>
    <row r="85" customFormat="false" ht="15" hidden="false" customHeight="true" outlineLevel="0" collapsed="false">
      <c r="A85" s="9" t="s">
        <v>318</v>
      </c>
    </row>
    <row r="86" customFormat="false" ht="15" hidden="false" customHeight="true" outlineLevel="0" collapsed="false">
      <c r="A86" s="3" t="s">
        <v>212</v>
      </c>
      <c r="B86" s="8" t="n">
        <f aca="false">SUMIFS(E2:E83,H2:H83,"Mar")</f>
        <v>40457</v>
      </c>
    </row>
    <row r="87" customFormat="false" ht="15" hidden="false" customHeight="true" outlineLevel="0" collapsed="false">
      <c r="A87" s="3" t="s">
        <v>319</v>
      </c>
      <c r="B87" s="11" t="n">
        <f aca="false">'New Vehicle'!$B$44</f>
        <v>14</v>
      </c>
    </row>
    <row r="88" customFormat="false" ht="15" hidden="false" customHeight="true" outlineLevel="0" collapsed="false">
      <c r="A88" s="3" t="s">
        <v>320</v>
      </c>
      <c r="B88" s="8" t="n">
        <f aca="false">B86/B87</f>
        <v>2889.78571428571</v>
      </c>
    </row>
    <row r="89" customFormat="false" ht="15" hidden="false" customHeight="true" outlineLevel="0" collapsed="false">
      <c r="A89" s="3" t="s">
        <v>321</v>
      </c>
      <c r="B89" s="11" t="n">
        <f aca="false">FI_PVR_Target</f>
        <v>1600</v>
      </c>
    </row>
    <row r="90" customFormat="false" ht="15" hidden="false" customHeight="true" outlineLevel="0" collapsed="false">
      <c r="A90" s="3" t="s">
        <v>322</v>
      </c>
      <c r="B90" s="8" t="n">
        <f aca="false">B88-B89</f>
        <v>1289.78571428571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5" t="s">
        <v>323</v>
      </c>
      <c r="B1" s="5" t="s">
        <v>324</v>
      </c>
      <c r="C1" s="5" t="s">
        <v>325</v>
      </c>
      <c r="D1" s="5" t="s">
        <v>326</v>
      </c>
      <c r="E1" s="5" t="s">
        <v>327</v>
      </c>
      <c r="F1" s="5" t="s">
        <v>328</v>
      </c>
      <c r="G1" s="5" t="s">
        <v>329</v>
      </c>
      <c r="H1" s="5" t="s">
        <v>95</v>
      </c>
    </row>
    <row r="2" customFormat="false" ht="15" hidden="false" customHeight="true" outlineLevel="0" collapsed="false">
      <c r="A2" s="1" t="n">
        <v>5001</v>
      </c>
      <c r="B2" s="1" t="s">
        <v>330</v>
      </c>
      <c r="C2" s="1" t="s">
        <v>331</v>
      </c>
      <c r="D2" s="17" t="n">
        <v>255</v>
      </c>
      <c r="E2" s="17" t="n">
        <v>308</v>
      </c>
      <c r="F2" s="17" t="n">
        <v>162</v>
      </c>
      <c r="G2" s="17" t="n">
        <v>198</v>
      </c>
      <c r="H2" s="1" t="s">
        <v>2</v>
      </c>
    </row>
    <row r="3" customFormat="false" ht="15" hidden="false" customHeight="true" outlineLevel="0" collapsed="false">
      <c r="A3" s="1" t="n">
        <v>5002</v>
      </c>
      <c r="B3" s="1" t="s">
        <v>332</v>
      </c>
      <c r="C3" s="1" t="s">
        <v>331</v>
      </c>
      <c r="D3" s="17" t="n">
        <v>970</v>
      </c>
      <c r="E3" s="17" t="n">
        <v>553</v>
      </c>
      <c r="F3" s="17" t="n">
        <v>450</v>
      </c>
      <c r="G3" s="17" t="n">
        <v>373</v>
      </c>
      <c r="H3" s="1" t="s">
        <v>2</v>
      </c>
    </row>
    <row r="4" customFormat="false" ht="15" hidden="false" customHeight="true" outlineLevel="0" collapsed="false">
      <c r="A4" s="1" t="n">
        <v>5003</v>
      </c>
      <c r="B4" s="1" t="s">
        <v>98</v>
      </c>
      <c r="C4" s="1" t="s">
        <v>331</v>
      </c>
      <c r="D4" s="17" t="n">
        <v>455</v>
      </c>
      <c r="E4" s="17" t="n">
        <v>880</v>
      </c>
      <c r="F4" s="17" t="n">
        <v>255</v>
      </c>
      <c r="G4" s="17" t="n">
        <v>537</v>
      </c>
      <c r="H4" s="1" t="s">
        <v>2</v>
      </c>
    </row>
    <row r="5" customFormat="false" ht="15" hidden="false" customHeight="true" outlineLevel="0" collapsed="false">
      <c r="A5" s="1" t="n">
        <v>5004</v>
      </c>
      <c r="B5" s="1" t="s">
        <v>333</v>
      </c>
      <c r="C5" s="1" t="s">
        <v>331</v>
      </c>
      <c r="D5" s="17" t="n">
        <v>1292</v>
      </c>
      <c r="E5" s="17" t="n">
        <v>832</v>
      </c>
      <c r="F5" s="17" t="n">
        <v>688</v>
      </c>
      <c r="G5" s="17" t="n">
        <v>556</v>
      </c>
      <c r="H5" s="1" t="s">
        <v>2</v>
      </c>
    </row>
    <row r="6" customFormat="false" ht="15" hidden="false" customHeight="true" outlineLevel="0" collapsed="false">
      <c r="A6" s="1" t="n">
        <v>5005</v>
      </c>
      <c r="B6" s="1" t="s">
        <v>334</v>
      </c>
      <c r="C6" s="1" t="s">
        <v>331</v>
      </c>
      <c r="D6" s="17" t="n">
        <v>1738</v>
      </c>
      <c r="E6" s="17" t="n">
        <v>585</v>
      </c>
      <c r="F6" s="17" t="n">
        <v>914</v>
      </c>
      <c r="G6" s="17" t="n">
        <v>428</v>
      </c>
      <c r="H6" s="1" t="s">
        <v>2</v>
      </c>
    </row>
    <row r="7" customFormat="false" ht="15" hidden="false" customHeight="true" outlineLevel="0" collapsed="false">
      <c r="A7" s="1" t="n">
        <v>5006</v>
      </c>
      <c r="B7" s="1" t="s">
        <v>335</v>
      </c>
      <c r="C7" s="1" t="s">
        <v>336</v>
      </c>
      <c r="D7" s="17" t="n">
        <v>1028</v>
      </c>
      <c r="E7" s="17" t="n">
        <v>362</v>
      </c>
      <c r="F7" s="17" t="n">
        <v>579</v>
      </c>
      <c r="G7" s="17" t="n">
        <v>203</v>
      </c>
      <c r="H7" s="1" t="s">
        <v>2</v>
      </c>
    </row>
    <row r="8" customFormat="false" ht="15" hidden="false" customHeight="true" outlineLevel="0" collapsed="false">
      <c r="A8" s="1" t="n">
        <v>5007</v>
      </c>
      <c r="B8" s="1" t="s">
        <v>123</v>
      </c>
      <c r="C8" s="1" t="s">
        <v>331</v>
      </c>
      <c r="D8" s="17" t="n">
        <v>1712</v>
      </c>
      <c r="E8" s="17" t="n">
        <v>262</v>
      </c>
      <c r="F8" s="17" t="n">
        <v>984</v>
      </c>
      <c r="G8" s="17" t="n">
        <v>157</v>
      </c>
      <c r="H8" s="1" t="s">
        <v>2</v>
      </c>
    </row>
    <row r="9" customFormat="false" ht="15" hidden="false" customHeight="true" outlineLevel="0" collapsed="false">
      <c r="A9" s="1" t="n">
        <v>5008</v>
      </c>
      <c r="B9" s="1" t="s">
        <v>337</v>
      </c>
      <c r="C9" s="1" t="s">
        <v>331</v>
      </c>
      <c r="D9" s="17" t="n">
        <v>641</v>
      </c>
      <c r="E9" s="17" t="n">
        <v>227</v>
      </c>
      <c r="F9" s="17" t="n">
        <v>359</v>
      </c>
      <c r="G9" s="17" t="n">
        <v>131</v>
      </c>
      <c r="H9" s="1" t="s">
        <v>2</v>
      </c>
    </row>
    <row r="10" customFormat="false" ht="15" hidden="false" customHeight="true" outlineLevel="0" collapsed="false">
      <c r="A10" s="1" t="n">
        <v>5009</v>
      </c>
      <c r="B10" s="1" t="s">
        <v>334</v>
      </c>
      <c r="C10" s="1" t="s">
        <v>338</v>
      </c>
      <c r="D10" s="17" t="n">
        <v>1561</v>
      </c>
      <c r="E10" s="17" t="n">
        <v>658</v>
      </c>
      <c r="F10" s="17" t="n">
        <v>849</v>
      </c>
      <c r="G10" s="17" t="n">
        <v>366</v>
      </c>
      <c r="H10" s="1" t="s">
        <v>2</v>
      </c>
    </row>
    <row r="11" customFormat="false" ht="15" hidden="false" customHeight="true" outlineLevel="0" collapsed="false">
      <c r="A11" s="1" t="n">
        <v>5010</v>
      </c>
      <c r="B11" s="1" t="s">
        <v>98</v>
      </c>
      <c r="C11" s="1" t="s">
        <v>336</v>
      </c>
      <c r="D11" s="17" t="n">
        <v>729</v>
      </c>
      <c r="E11" s="17" t="n">
        <v>769</v>
      </c>
      <c r="F11" s="17" t="n">
        <v>453</v>
      </c>
      <c r="G11" s="17" t="n">
        <v>433</v>
      </c>
      <c r="H11" s="1" t="s">
        <v>2</v>
      </c>
    </row>
    <row r="12" customFormat="false" ht="15" hidden="false" customHeight="true" outlineLevel="0" collapsed="false">
      <c r="A12" s="1" t="n">
        <v>5011</v>
      </c>
      <c r="B12" s="1" t="s">
        <v>104</v>
      </c>
      <c r="C12" s="1" t="s">
        <v>338</v>
      </c>
      <c r="D12" s="17" t="n">
        <v>1763</v>
      </c>
      <c r="E12" s="17" t="n">
        <v>860</v>
      </c>
      <c r="F12" s="17" t="n">
        <v>1013</v>
      </c>
      <c r="G12" s="17" t="n">
        <v>586</v>
      </c>
      <c r="H12" s="1" t="s">
        <v>2</v>
      </c>
    </row>
    <row r="13" customFormat="false" ht="15" hidden="false" customHeight="true" outlineLevel="0" collapsed="false">
      <c r="A13" s="1" t="n">
        <v>5012</v>
      </c>
      <c r="B13" s="1" t="s">
        <v>109</v>
      </c>
      <c r="C13" s="1" t="s">
        <v>338</v>
      </c>
      <c r="D13" s="17" t="n">
        <v>385</v>
      </c>
      <c r="E13" s="17" t="n">
        <v>607</v>
      </c>
      <c r="F13" s="17" t="n">
        <v>190</v>
      </c>
      <c r="G13" s="17" t="n">
        <v>351</v>
      </c>
      <c r="H13" s="1" t="s">
        <v>2</v>
      </c>
    </row>
    <row r="14" customFormat="false" ht="15" hidden="false" customHeight="true" outlineLevel="0" collapsed="false">
      <c r="A14" s="1" t="n">
        <v>5013</v>
      </c>
      <c r="B14" s="1" t="s">
        <v>335</v>
      </c>
      <c r="C14" s="1" t="s">
        <v>331</v>
      </c>
      <c r="D14" s="17" t="n">
        <v>296</v>
      </c>
      <c r="E14" s="17" t="n">
        <v>111</v>
      </c>
      <c r="F14" s="17" t="n">
        <v>143</v>
      </c>
      <c r="G14" s="17" t="n">
        <v>67</v>
      </c>
      <c r="H14" s="1" t="s">
        <v>2</v>
      </c>
    </row>
    <row r="15" customFormat="false" ht="15" hidden="false" customHeight="true" outlineLevel="0" collapsed="false">
      <c r="A15" s="1" t="n">
        <v>5014</v>
      </c>
      <c r="B15" s="1" t="s">
        <v>226</v>
      </c>
      <c r="C15" s="1" t="s">
        <v>336</v>
      </c>
      <c r="D15" s="17" t="n">
        <v>741</v>
      </c>
      <c r="E15" s="17" t="n">
        <v>499</v>
      </c>
      <c r="F15" s="17" t="n">
        <v>351</v>
      </c>
      <c r="G15" s="17" t="n">
        <v>343</v>
      </c>
      <c r="H15" s="1" t="s">
        <v>2</v>
      </c>
    </row>
    <row r="16" customFormat="false" ht="15" hidden="false" customHeight="true" outlineLevel="0" collapsed="false">
      <c r="A16" s="1" t="n">
        <v>5015</v>
      </c>
      <c r="B16" s="1" t="s">
        <v>333</v>
      </c>
      <c r="C16" s="1" t="s">
        <v>338</v>
      </c>
      <c r="D16" s="17" t="n">
        <v>707</v>
      </c>
      <c r="E16" s="17" t="n">
        <v>562</v>
      </c>
      <c r="F16" s="17" t="n">
        <v>394</v>
      </c>
      <c r="G16" s="17" t="n">
        <v>358</v>
      </c>
      <c r="H16" s="1" t="s">
        <v>2</v>
      </c>
    </row>
    <row r="17" customFormat="false" ht="15" hidden="false" customHeight="true" outlineLevel="0" collapsed="false">
      <c r="A17" s="1" t="n">
        <v>5016</v>
      </c>
      <c r="B17" s="1" t="s">
        <v>123</v>
      </c>
      <c r="C17" s="1" t="s">
        <v>331</v>
      </c>
      <c r="D17" s="17" t="n">
        <v>1034</v>
      </c>
      <c r="E17" s="17" t="n">
        <v>802</v>
      </c>
      <c r="F17" s="17" t="n">
        <v>531</v>
      </c>
      <c r="G17" s="17" t="n">
        <v>481</v>
      </c>
      <c r="H17" s="1" t="s">
        <v>2</v>
      </c>
    </row>
    <row r="18" customFormat="false" ht="15" hidden="false" customHeight="true" outlineLevel="0" collapsed="false">
      <c r="A18" s="1" t="n">
        <v>5017</v>
      </c>
      <c r="B18" s="1" t="s">
        <v>339</v>
      </c>
      <c r="C18" s="1" t="s">
        <v>331</v>
      </c>
      <c r="D18" s="17" t="n">
        <v>1530</v>
      </c>
      <c r="E18" s="17" t="n">
        <v>639</v>
      </c>
      <c r="F18" s="17" t="n">
        <v>868</v>
      </c>
      <c r="G18" s="17" t="n">
        <v>354</v>
      </c>
      <c r="H18" s="1" t="s">
        <v>2</v>
      </c>
    </row>
    <row r="19" customFormat="false" ht="15" hidden="false" customHeight="true" outlineLevel="0" collapsed="false">
      <c r="A19" s="1" t="n">
        <v>5018</v>
      </c>
      <c r="B19" s="1" t="s">
        <v>340</v>
      </c>
      <c r="C19" s="1" t="s">
        <v>336</v>
      </c>
      <c r="D19" s="17" t="n">
        <v>701</v>
      </c>
      <c r="E19" s="17" t="n">
        <v>640</v>
      </c>
      <c r="F19" s="17" t="n">
        <v>321</v>
      </c>
      <c r="G19" s="17" t="n">
        <v>448</v>
      </c>
      <c r="H19" s="1" t="s">
        <v>2</v>
      </c>
    </row>
    <row r="20" customFormat="false" ht="15" hidden="false" customHeight="true" outlineLevel="0" collapsed="false">
      <c r="A20" s="1" t="n">
        <v>5019</v>
      </c>
      <c r="B20" s="1" t="s">
        <v>222</v>
      </c>
      <c r="C20" s="1" t="s">
        <v>336</v>
      </c>
      <c r="D20" s="17" t="n">
        <v>1484</v>
      </c>
      <c r="E20" s="17" t="n">
        <v>502</v>
      </c>
      <c r="F20" s="17" t="n">
        <v>939</v>
      </c>
      <c r="G20" s="17" t="n">
        <v>294</v>
      </c>
      <c r="H20" s="1" t="s">
        <v>2</v>
      </c>
    </row>
    <row r="21" customFormat="false" ht="15" hidden="false" customHeight="true" outlineLevel="0" collapsed="false">
      <c r="A21" s="1" t="n">
        <v>5020</v>
      </c>
      <c r="B21" s="1" t="s">
        <v>117</v>
      </c>
      <c r="C21" s="1" t="s">
        <v>338</v>
      </c>
      <c r="D21" s="17" t="n">
        <v>1450</v>
      </c>
      <c r="E21" s="17" t="n">
        <v>883</v>
      </c>
      <c r="F21" s="17" t="n">
        <v>795</v>
      </c>
      <c r="G21" s="17" t="n">
        <v>501</v>
      </c>
      <c r="H21" s="1" t="s">
        <v>2</v>
      </c>
    </row>
    <row r="22" customFormat="false" ht="15" hidden="false" customHeight="true" outlineLevel="0" collapsed="false">
      <c r="A22" s="1" t="n">
        <v>5021</v>
      </c>
      <c r="B22" s="1" t="s">
        <v>341</v>
      </c>
      <c r="C22" s="1" t="s">
        <v>338</v>
      </c>
      <c r="D22" s="17" t="n">
        <v>832</v>
      </c>
      <c r="E22" s="17" t="n">
        <v>378</v>
      </c>
      <c r="F22" s="17" t="n">
        <v>485</v>
      </c>
      <c r="G22" s="17" t="n">
        <v>272</v>
      </c>
      <c r="H22" s="1" t="s">
        <v>2</v>
      </c>
    </row>
    <row r="23" customFormat="false" ht="15" hidden="false" customHeight="true" outlineLevel="0" collapsed="false">
      <c r="A23" s="1" t="n">
        <v>5022</v>
      </c>
      <c r="B23" s="1" t="s">
        <v>330</v>
      </c>
      <c r="C23" s="1" t="s">
        <v>338</v>
      </c>
      <c r="D23" s="17" t="n">
        <v>1570</v>
      </c>
      <c r="E23" s="17" t="n">
        <v>557</v>
      </c>
      <c r="F23" s="17" t="n">
        <v>797</v>
      </c>
      <c r="G23" s="17" t="n">
        <v>411</v>
      </c>
      <c r="H23" s="1" t="s">
        <v>2</v>
      </c>
    </row>
    <row r="24" customFormat="false" ht="15" hidden="false" customHeight="true" outlineLevel="0" collapsed="false">
      <c r="A24" s="1" t="n">
        <v>5023</v>
      </c>
      <c r="B24" s="1" t="s">
        <v>114</v>
      </c>
      <c r="C24" s="1" t="s">
        <v>336</v>
      </c>
      <c r="D24" s="17" t="n">
        <v>225</v>
      </c>
      <c r="E24" s="17" t="n">
        <v>515</v>
      </c>
      <c r="F24" s="17" t="n">
        <v>105</v>
      </c>
      <c r="G24" s="17" t="n">
        <v>309</v>
      </c>
      <c r="H24" s="1" t="s">
        <v>2</v>
      </c>
    </row>
    <row r="25" customFormat="false" ht="15" hidden="false" customHeight="true" outlineLevel="0" collapsed="false">
      <c r="A25" s="1" t="n">
        <v>5024</v>
      </c>
      <c r="B25" s="1" t="s">
        <v>101</v>
      </c>
      <c r="C25" s="1" t="s">
        <v>338</v>
      </c>
      <c r="D25" s="17" t="n">
        <v>1203</v>
      </c>
      <c r="E25" s="17" t="n">
        <v>894</v>
      </c>
      <c r="F25" s="17" t="n">
        <v>779</v>
      </c>
      <c r="G25" s="17" t="n">
        <v>609</v>
      </c>
      <c r="H25" s="1" t="s">
        <v>2</v>
      </c>
    </row>
    <row r="26" customFormat="false" ht="15" hidden="false" customHeight="true" outlineLevel="0" collapsed="false">
      <c r="A26" s="1" t="n">
        <v>5025</v>
      </c>
      <c r="B26" s="1" t="s">
        <v>339</v>
      </c>
      <c r="C26" s="1" t="s">
        <v>338</v>
      </c>
      <c r="D26" s="17" t="n">
        <v>996</v>
      </c>
      <c r="E26" s="17" t="n">
        <v>105</v>
      </c>
      <c r="F26" s="17" t="n">
        <v>485</v>
      </c>
      <c r="G26" s="17" t="n">
        <v>65</v>
      </c>
      <c r="H26" s="1" t="s">
        <v>2</v>
      </c>
    </row>
    <row r="27" customFormat="false" ht="15" hidden="false" customHeight="true" outlineLevel="0" collapsed="false">
      <c r="A27" s="1" t="n">
        <v>5026</v>
      </c>
      <c r="B27" s="1" t="s">
        <v>101</v>
      </c>
      <c r="C27" s="1" t="s">
        <v>338</v>
      </c>
      <c r="D27" s="17" t="n">
        <v>1430</v>
      </c>
      <c r="E27" s="17" t="n">
        <v>502</v>
      </c>
      <c r="F27" s="17" t="n">
        <v>860</v>
      </c>
      <c r="G27" s="17" t="n">
        <v>296</v>
      </c>
      <c r="H27" s="1" t="s">
        <v>2</v>
      </c>
    </row>
    <row r="28" customFormat="false" ht="15" hidden="false" customHeight="true" outlineLevel="0" collapsed="false">
      <c r="A28" s="1" t="n">
        <v>5027</v>
      </c>
      <c r="B28" s="1" t="s">
        <v>342</v>
      </c>
      <c r="C28" s="1" t="s">
        <v>331</v>
      </c>
      <c r="D28" s="17" t="n">
        <v>739</v>
      </c>
      <c r="E28" s="17" t="n">
        <v>498</v>
      </c>
      <c r="F28" s="17" t="n">
        <v>462</v>
      </c>
      <c r="G28" s="17" t="n">
        <v>322</v>
      </c>
      <c r="H28" s="1" t="s">
        <v>2</v>
      </c>
    </row>
    <row r="29" customFormat="false" ht="15" hidden="false" customHeight="true" outlineLevel="0" collapsed="false">
      <c r="A29" s="1" t="n">
        <v>5028</v>
      </c>
      <c r="B29" s="1" t="s">
        <v>101</v>
      </c>
      <c r="C29" s="1" t="s">
        <v>336</v>
      </c>
      <c r="D29" s="17" t="n">
        <v>1396</v>
      </c>
      <c r="E29" s="17" t="n">
        <v>868</v>
      </c>
      <c r="F29" s="17" t="n">
        <v>695</v>
      </c>
      <c r="G29" s="17" t="n">
        <v>504</v>
      </c>
      <c r="H29" s="1" t="s">
        <v>2</v>
      </c>
    </row>
    <row r="30" customFormat="false" ht="15" hidden="false" customHeight="true" outlineLevel="0" collapsed="false">
      <c r="A30" s="1" t="n">
        <v>5029</v>
      </c>
      <c r="B30" s="1" t="s">
        <v>114</v>
      </c>
      <c r="C30" s="1" t="s">
        <v>331</v>
      </c>
      <c r="D30" s="17" t="n">
        <v>1281</v>
      </c>
      <c r="E30" s="17" t="n">
        <v>467</v>
      </c>
      <c r="F30" s="17" t="n">
        <v>600</v>
      </c>
      <c r="G30" s="17" t="n">
        <v>349</v>
      </c>
      <c r="H30" s="1" t="s">
        <v>2</v>
      </c>
    </row>
    <row r="31" customFormat="false" ht="15" hidden="false" customHeight="true" outlineLevel="0" collapsed="false">
      <c r="A31" s="1" t="n">
        <v>5030</v>
      </c>
      <c r="B31" s="1" t="s">
        <v>226</v>
      </c>
      <c r="C31" s="1" t="s">
        <v>338</v>
      </c>
      <c r="D31" s="17" t="n">
        <v>390</v>
      </c>
      <c r="E31" s="17" t="n">
        <v>713</v>
      </c>
      <c r="F31" s="17" t="n">
        <v>240</v>
      </c>
      <c r="G31" s="17" t="n">
        <v>463</v>
      </c>
      <c r="H31" s="1" t="s">
        <v>2</v>
      </c>
    </row>
    <row r="32" customFormat="false" ht="15" hidden="false" customHeight="true" outlineLevel="0" collapsed="false">
      <c r="A32" s="1" t="n">
        <v>5031</v>
      </c>
      <c r="B32" s="1" t="s">
        <v>340</v>
      </c>
      <c r="C32" s="1" t="s">
        <v>338</v>
      </c>
      <c r="D32" s="17" t="n">
        <v>1192</v>
      </c>
      <c r="E32" s="17" t="n">
        <v>772</v>
      </c>
      <c r="F32" s="17" t="n">
        <v>601</v>
      </c>
      <c r="G32" s="17" t="n">
        <v>553</v>
      </c>
      <c r="H32" s="1" t="s">
        <v>2</v>
      </c>
    </row>
    <row r="33" customFormat="false" ht="15" hidden="false" customHeight="true" outlineLevel="0" collapsed="false">
      <c r="A33" s="1" t="n">
        <v>5032</v>
      </c>
      <c r="B33" s="1" t="s">
        <v>333</v>
      </c>
      <c r="C33" s="1" t="s">
        <v>331</v>
      </c>
      <c r="D33" s="17" t="n">
        <v>1085</v>
      </c>
      <c r="E33" s="17" t="n">
        <v>614</v>
      </c>
      <c r="F33" s="17" t="n">
        <v>519</v>
      </c>
      <c r="G33" s="17" t="n">
        <v>361</v>
      </c>
      <c r="H33" s="1" t="s">
        <v>2</v>
      </c>
    </row>
    <row r="34" customFormat="false" ht="15" hidden="false" customHeight="true" outlineLevel="0" collapsed="false">
      <c r="A34" s="1" t="n">
        <v>5033</v>
      </c>
      <c r="B34" s="1" t="s">
        <v>240</v>
      </c>
      <c r="C34" s="1" t="s">
        <v>336</v>
      </c>
      <c r="D34" s="17" t="n">
        <v>1678</v>
      </c>
      <c r="E34" s="17" t="n">
        <v>189</v>
      </c>
      <c r="F34" s="17" t="n">
        <v>1045</v>
      </c>
      <c r="G34" s="17" t="n">
        <v>114</v>
      </c>
      <c r="H34" s="1" t="s">
        <v>2</v>
      </c>
    </row>
    <row r="35" customFormat="false" ht="15" hidden="false" customHeight="true" outlineLevel="0" collapsed="false">
      <c r="A35" s="1" t="n">
        <v>5034</v>
      </c>
      <c r="B35" s="1" t="s">
        <v>334</v>
      </c>
      <c r="C35" s="1" t="s">
        <v>338</v>
      </c>
      <c r="D35" s="17" t="n">
        <v>846</v>
      </c>
      <c r="E35" s="17" t="n">
        <v>856</v>
      </c>
      <c r="F35" s="17" t="n">
        <v>466</v>
      </c>
      <c r="G35" s="17" t="n">
        <v>611</v>
      </c>
      <c r="H35" s="1" t="s">
        <v>2</v>
      </c>
    </row>
    <row r="36" customFormat="false" ht="15" hidden="false" customHeight="true" outlineLevel="0" collapsed="false">
      <c r="A36" s="1" t="n">
        <v>5035</v>
      </c>
      <c r="B36" s="1" t="s">
        <v>126</v>
      </c>
      <c r="C36" s="1" t="s">
        <v>336</v>
      </c>
      <c r="D36" s="17" t="n">
        <v>761</v>
      </c>
      <c r="E36" s="17" t="n">
        <v>651</v>
      </c>
      <c r="F36" s="17" t="n">
        <v>430</v>
      </c>
      <c r="G36" s="17" t="n">
        <v>443</v>
      </c>
      <c r="H36" s="1" t="s">
        <v>2</v>
      </c>
    </row>
    <row r="37" customFormat="false" ht="15" hidden="false" customHeight="true" outlineLevel="0" collapsed="false">
      <c r="A37" s="1" t="n">
        <v>5036</v>
      </c>
      <c r="B37" s="1" t="s">
        <v>339</v>
      </c>
      <c r="C37" s="1" t="s">
        <v>331</v>
      </c>
      <c r="D37" s="17" t="n">
        <v>1064</v>
      </c>
      <c r="E37" s="17" t="n">
        <v>601</v>
      </c>
      <c r="F37" s="17" t="n">
        <v>581</v>
      </c>
      <c r="G37" s="17" t="n">
        <v>370</v>
      </c>
      <c r="H37" s="1" t="s">
        <v>2</v>
      </c>
    </row>
    <row r="38" customFormat="false" ht="15" hidden="false" customHeight="true" outlineLevel="0" collapsed="false">
      <c r="A38" s="1" t="n">
        <v>5037</v>
      </c>
      <c r="B38" s="1" t="s">
        <v>226</v>
      </c>
      <c r="C38" s="1" t="s">
        <v>336</v>
      </c>
      <c r="D38" s="17" t="n">
        <v>922</v>
      </c>
      <c r="E38" s="17" t="n">
        <v>516</v>
      </c>
      <c r="F38" s="17" t="n">
        <v>586</v>
      </c>
      <c r="G38" s="17" t="n">
        <v>373</v>
      </c>
      <c r="H38" s="1" t="s">
        <v>2</v>
      </c>
    </row>
    <row r="39" customFormat="false" ht="15" hidden="false" customHeight="true" outlineLevel="0" collapsed="false">
      <c r="A39" s="1" t="n">
        <v>5038</v>
      </c>
      <c r="B39" s="1" t="s">
        <v>332</v>
      </c>
      <c r="C39" s="1" t="s">
        <v>331</v>
      </c>
      <c r="D39" s="17" t="n">
        <v>1321</v>
      </c>
      <c r="E39" s="17" t="n">
        <v>442</v>
      </c>
      <c r="F39" s="17" t="n">
        <v>656</v>
      </c>
      <c r="G39" s="17" t="n">
        <v>311</v>
      </c>
      <c r="H39" s="1" t="s">
        <v>2</v>
      </c>
    </row>
    <row r="40" customFormat="false" ht="15" hidden="false" customHeight="true" outlineLevel="0" collapsed="false">
      <c r="A40" s="1" t="n">
        <v>5039</v>
      </c>
      <c r="B40" s="1" t="s">
        <v>343</v>
      </c>
      <c r="C40" s="1" t="s">
        <v>338</v>
      </c>
      <c r="D40" s="17" t="n">
        <v>1675</v>
      </c>
      <c r="E40" s="17" t="n">
        <v>534</v>
      </c>
      <c r="F40" s="17" t="n">
        <v>990</v>
      </c>
      <c r="G40" s="17" t="n">
        <v>380</v>
      </c>
      <c r="H40" s="1" t="s">
        <v>2</v>
      </c>
    </row>
    <row r="41" customFormat="false" ht="15" hidden="false" customHeight="true" outlineLevel="0" collapsed="false">
      <c r="A41" s="1" t="n">
        <v>5040</v>
      </c>
      <c r="B41" s="1" t="s">
        <v>332</v>
      </c>
      <c r="C41" s="1" t="s">
        <v>336</v>
      </c>
      <c r="D41" s="17" t="n">
        <v>1772</v>
      </c>
      <c r="E41" s="17" t="n">
        <v>890</v>
      </c>
      <c r="F41" s="17" t="n">
        <v>1028</v>
      </c>
      <c r="G41" s="17" t="n">
        <v>516</v>
      </c>
      <c r="H41" s="1" t="s">
        <v>2</v>
      </c>
    </row>
    <row r="42" customFormat="false" ht="15" hidden="false" customHeight="true" outlineLevel="0" collapsed="false">
      <c r="A42" s="1" t="n">
        <v>5041</v>
      </c>
      <c r="B42" s="1" t="s">
        <v>126</v>
      </c>
      <c r="C42" s="1" t="s">
        <v>331</v>
      </c>
      <c r="D42" s="17" t="n">
        <v>1178</v>
      </c>
      <c r="E42" s="17" t="n">
        <v>654</v>
      </c>
      <c r="F42" s="17" t="n">
        <v>608</v>
      </c>
      <c r="G42" s="17" t="n">
        <v>372</v>
      </c>
      <c r="H42" s="1" t="s">
        <v>2</v>
      </c>
    </row>
    <row r="43" customFormat="false" ht="15" hidden="false" customHeight="true" outlineLevel="0" collapsed="false">
      <c r="A43" s="1" t="n">
        <v>5042</v>
      </c>
      <c r="B43" s="1" t="s">
        <v>244</v>
      </c>
      <c r="C43" s="1" t="s">
        <v>338</v>
      </c>
      <c r="D43" s="17" t="n">
        <v>354</v>
      </c>
      <c r="E43" s="17" t="n">
        <v>588</v>
      </c>
      <c r="F43" s="17" t="n">
        <v>223</v>
      </c>
      <c r="G43" s="17" t="n">
        <v>325</v>
      </c>
      <c r="H43" s="1" t="s">
        <v>2</v>
      </c>
    </row>
    <row r="44" customFormat="false" ht="15" hidden="false" customHeight="true" outlineLevel="0" collapsed="false">
      <c r="A44" s="1" t="n">
        <v>5043</v>
      </c>
      <c r="B44" s="1" t="s">
        <v>109</v>
      </c>
      <c r="C44" s="1" t="s">
        <v>338</v>
      </c>
      <c r="D44" s="17" t="n">
        <v>1490</v>
      </c>
      <c r="E44" s="17" t="n">
        <v>208</v>
      </c>
      <c r="F44" s="17" t="n">
        <v>692</v>
      </c>
      <c r="G44" s="17" t="n">
        <v>146</v>
      </c>
      <c r="H44" s="1" t="s">
        <v>2</v>
      </c>
    </row>
    <row r="45" customFormat="false" ht="15" hidden="false" customHeight="true" outlineLevel="0" collapsed="false">
      <c r="A45" s="1" t="n">
        <v>5044</v>
      </c>
      <c r="B45" s="1" t="s">
        <v>341</v>
      </c>
      <c r="C45" s="1" t="s">
        <v>338</v>
      </c>
      <c r="D45" s="17" t="n">
        <v>1426</v>
      </c>
      <c r="E45" s="17" t="n">
        <v>759</v>
      </c>
      <c r="F45" s="17" t="n">
        <v>755</v>
      </c>
      <c r="G45" s="17" t="n">
        <v>429</v>
      </c>
      <c r="H45" s="1" t="s">
        <v>2</v>
      </c>
    </row>
    <row r="46" customFormat="false" ht="15" hidden="false" customHeight="true" outlineLevel="0" collapsed="false">
      <c r="A46" s="1" t="n">
        <v>5045</v>
      </c>
      <c r="B46" s="1" t="s">
        <v>339</v>
      </c>
      <c r="C46" s="1" t="s">
        <v>336</v>
      </c>
      <c r="D46" s="17" t="n">
        <v>1242</v>
      </c>
      <c r="E46" s="17" t="n">
        <v>439</v>
      </c>
      <c r="F46" s="17" t="n">
        <v>795</v>
      </c>
      <c r="G46" s="17" t="n">
        <v>296</v>
      </c>
      <c r="H46" s="1" t="s">
        <v>2</v>
      </c>
    </row>
    <row r="47" customFormat="false" ht="15" hidden="false" customHeight="true" outlineLevel="0" collapsed="false">
      <c r="A47" s="1" t="n">
        <v>5046</v>
      </c>
      <c r="B47" s="1" t="s">
        <v>129</v>
      </c>
      <c r="C47" s="1" t="s">
        <v>338</v>
      </c>
      <c r="D47" s="17" t="n">
        <v>1258</v>
      </c>
      <c r="E47" s="17" t="n">
        <v>86</v>
      </c>
      <c r="F47" s="17" t="n">
        <v>721</v>
      </c>
      <c r="G47" s="17" t="n">
        <v>51</v>
      </c>
      <c r="H47" s="1" t="s">
        <v>2</v>
      </c>
    </row>
    <row r="48" customFormat="false" ht="15" hidden="false" customHeight="true" outlineLevel="0" collapsed="false">
      <c r="A48" s="1" t="n">
        <v>5047</v>
      </c>
      <c r="B48" s="1" t="s">
        <v>339</v>
      </c>
      <c r="C48" s="1" t="s">
        <v>338</v>
      </c>
      <c r="D48" s="17" t="n">
        <v>615</v>
      </c>
      <c r="E48" s="17" t="n">
        <v>814</v>
      </c>
      <c r="F48" s="17" t="n">
        <v>287</v>
      </c>
      <c r="G48" s="17" t="n">
        <v>606</v>
      </c>
      <c r="H48" s="1" t="s">
        <v>2</v>
      </c>
    </row>
    <row r="49" customFormat="false" ht="15" hidden="false" customHeight="true" outlineLevel="0" collapsed="false">
      <c r="A49" s="1" t="n">
        <v>5048</v>
      </c>
      <c r="B49" s="1" t="s">
        <v>342</v>
      </c>
      <c r="C49" s="1" t="s">
        <v>336</v>
      </c>
      <c r="D49" s="17" t="n">
        <v>1591</v>
      </c>
      <c r="E49" s="17" t="n">
        <v>152</v>
      </c>
      <c r="F49" s="17" t="n">
        <v>857</v>
      </c>
      <c r="G49" s="17" t="n">
        <v>104</v>
      </c>
      <c r="H49" s="1" t="s">
        <v>2</v>
      </c>
    </row>
    <row r="50" customFormat="false" ht="15" hidden="false" customHeight="true" outlineLevel="0" collapsed="false">
      <c r="A50" s="1" t="n">
        <v>5049</v>
      </c>
      <c r="B50" s="1" t="s">
        <v>337</v>
      </c>
      <c r="C50" s="1" t="s">
        <v>331</v>
      </c>
      <c r="D50" s="17" t="n">
        <v>814</v>
      </c>
      <c r="E50" s="17" t="n">
        <v>865</v>
      </c>
      <c r="F50" s="17" t="n">
        <v>375</v>
      </c>
      <c r="G50" s="17" t="n">
        <v>537</v>
      </c>
      <c r="H50" s="1" t="s">
        <v>2</v>
      </c>
    </row>
    <row r="51" customFormat="false" ht="15" hidden="false" customHeight="true" outlineLevel="0" collapsed="false">
      <c r="A51" s="1" t="n">
        <v>5050</v>
      </c>
      <c r="B51" s="1" t="s">
        <v>344</v>
      </c>
      <c r="C51" s="1" t="s">
        <v>331</v>
      </c>
      <c r="D51" s="17" t="n">
        <v>650</v>
      </c>
      <c r="E51" s="17" t="n">
        <v>593</v>
      </c>
      <c r="F51" s="17" t="n">
        <v>346</v>
      </c>
      <c r="G51" s="17" t="n">
        <v>407</v>
      </c>
      <c r="H51" s="1" t="s">
        <v>2</v>
      </c>
    </row>
    <row r="52" customFormat="false" ht="15" hidden="false" customHeight="true" outlineLevel="0" collapsed="false">
      <c r="A52" s="1" t="n">
        <v>5051</v>
      </c>
      <c r="B52" s="1" t="s">
        <v>129</v>
      </c>
      <c r="C52" s="1" t="s">
        <v>331</v>
      </c>
      <c r="D52" s="17" t="n">
        <v>508</v>
      </c>
      <c r="E52" s="17" t="n">
        <v>130</v>
      </c>
      <c r="F52" s="17" t="n">
        <v>290</v>
      </c>
      <c r="G52" s="17" t="n">
        <v>81</v>
      </c>
      <c r="H52" s="1" t="s">
        <v>2</v>
      </c>
    </row>
    <row r="53" customFormat="false" ht="15" hidden="false" customHeight="true" outlineLevel="0" collapsed="false">
      <c r="A53" s="1" t="n">
        <v>5052</v>
      </c>
      <c r="B53" s="1" t="s">
        <v>109</v>
      </c>
      <c r="C53" s="1" t="s">
        <v>331</v>
      </c>
      <c r="D53" s="17" t="n">
        <v>1169</v>
      </c>
      <c r="E53" s="17" t="n">
        <v>647</v>
      </c>
      <c r="F53" s="17" t="n">
        <v>559</v>
      </c>
      <c r="G53" s="17" t="n">
        <v>415</v>
      </c>
      <c r="H53" s="1" t="s">
        <v>2</v>
      </c>
    </row>
    <row r="54" customFormat="false" ht="15" hidden="false" customHeight="true" outlineLevel="0" collapsed="false">
      <c r="A54" s="1" t="n">
        <v>5053</v>
      </c>
      <c r="B54" s="1" t="s">
        <v>334</v>
      </c>
      <c r="C54" s="1" t="s">
        <v>338</v>
      </c>
      <c r="D54" s="17" t="n">
        <v>672</v>
      </c>
      <c r="E54" s="17" t="n">
        <v>732</v>
      </c>
      <c r="F54" s="17" t="n">
        <v>303</v>
      </c>
      <c r="G54" s="17" t="n">
        <v>520</v>
      </c>
      <c r="H54" s="1" t="s">
        <v>2</v>
      </c>
    </row>
    <row r="55" customFormat="false" ht="15" hidden="false" customHeight="true" outlineLevel="0" collapsed="false">
      <c r="A55" s="1" t="n">
        <v>5054</v>
      </c>
      <c r="B55" s="1" t="s">
        <v>222</v>
      </c>
      <c r="C55" s="1" t="s">
        <v>336</v>
      </c>
      <c r="D55" s="17" t="n">
        <v>1269</v>
      </c>
      <c r="E55" s="17" t="n">
        <v>211</v>
      </c>
      <c r="F55" s="17" t="n">
        <v>589</v>
      </c>
      <c r="G55" s="17" t="n">
        <v>155</v>
      </c>
      <c r="H55" s="1" t="s">
        <v>2</v>
      </c>
    </row>
    <row r="56" customFormat="false" ht="15" hidden="false" customHeight="true" outlineLevel="0" collapsed="false">
      <c r="A56" s="1" t="n">
        <v>5055</v>
      </c>
      <c r="B56" s="1" t="s">
        <v>334</v>
      </c>
      <c r="C56" s="1" t="s">
        <v>338</v>
      </c>
      <c r="D56" s="17" t="n">
        <v>1458</v>
      </c>
      <c r="E56" s="17" t="n">
        <v>484</v>
      </c>
      <c r="F56" s="17" t="n">
        <v>857</v>
      </c>
      <c r="G56" s="17" t="n">
        <v>310</v>
      </c>
      <c r="H56" s="1" t="s">
        <v>2</v>
      </c>
    </row>
    <row r="57" customFormat="false" ht="15" hidden="false" customHeight="true" outlineLevel="0" collapsed="false">
      <c r="A57" s="1" t="n">
        <v>5056</v>
      </c>
      <c r="B57" s="1" t="s">
        <v>345</v>
      </c>
      <c r="C57" s="1" t="s">
        <v>331</v>
      </c>
      <c r="D57" s="17" t="n">
        <v>937</v>
      </c>
      <c r="E57" s="17" t="n">
        <v>544</v>
      </c>
      <c r="F57" s="17" t="n">
        <v>441</v>
      </c>
      <c r="G57" s="17" t="n">
        <v>340</v>
      </c>
      <c r="H57" s="1" t="s">
        <v>3</v>
      </c>
    </row>
    <row r="58" customFormat="false" ht="15" hidden="false" customHeight="true" outlineLevel="0" collapsed="false">
      <c r="A58" s="1" t="n">
        <v>5057</v>
      </c>
      <c r="B58" s="1" t="s">
        <v>137</v>
      </c>
      <c r="C58" s="1" t="s">
        <v>336</v>
      </c>
      <c r="D58" s="17" t="n">
        <v>755</v>
      </c>
      <c r="E58" s="17" t="n">
        <v>766</v>
      </c>
      <c r="F58" s="17" t="n">
        <v>384</v>
      </c>
      <c r="G58" s="17" t="n">
        <v>571</v>
      </c>
      <c r="H58" s="1" t="s">
        <v>3</v>
      </c>
    </row>
    <row r="59" customFormat="false" ht="15" hidden="false" customHeight="true" outlineLevel="0" collapsed="false">
      <c r="A59" s="1" t="n">
        <v>5058</v>
      </c>
      <c r="B59" s="1" t="s">
        <v>157</v>
      </c>
      <c r="C59" s="1" t="s">
        <v>338</v>
      </c>
      <c r="D59" s="17" t="n">
        <v>712</v>
      </c>
      <c r="E59" s="17" t="n">
        <v>58</v>
      </c>
      <c r="F59" s="17" t="n">
        <v>400</v>
      </c>
      <c r="G59" s="17" t="n">
        <v>39</v>
      </c>
      <c r="H59" s="1" t="s">
        <v>3</v>
      </c>
    </row>
    <row r="60" customFormat="false" ht="15" hidden="false" customHeight="true" outlineLevel="0" collapsed="false">
      <c r="A60" s="1" t="n">
        <v>5059</v>
      </c>
      <c r="B60" s="1" t="s">
        <v>346</v>
      </c>
      <c r="C60" s="1" t="s">
        <v>331</v>
      </c>
      <c r="D60" s="17" t="n">
        <v>1391</v>
      </c>
      <c r="E60" s="17" t="n">
        <v>813</v>
      </c>
      <c r="F60" s="17" t="n">
        <v>764</v>
      </c>
      <c r="G60" s="17" t="n">
        <v>594</v>
      </c>
      <c r="H60" s="1" t="s">
        <v>3</v>
      </c>
    </row>
    <row r="61" customFormat="false" ht="15" hidden="false" customHeight="true" outlineLevel="0" collapsed="false">
      <c r="A61" s="1" t="n">
        <v>5060</v>
      </c>
      <c r="B61" s="1" t="s">
        <v>168</v>
      </c>
      <c r="C61" s="1" t="s">
        <v>331</v>
      </c>
      <c r="D61" s="17" t="n">
        <v>1393</v>
      </c>
      <c r="E61" s="17" t="n">
        <v>871</v>
      </c>
      <c r="F61" s="17" t="n">
        <v>725</v>
      </c>
      <c r="G61" s="17" t="n">
        <v>589</v>
      </c>
      <c r="H61" s="1" t="s">
        <v>3</v>
      </c>
    </row>
    <row r="62" customFormat="false" ht="15" hidden="false" customHeight="true" outlineLevel="0" collapsed="false">
      <c r="A62" s="1" t="n">
        <v>5061</v>
      </c>
      <c r="B62" s="1" t="s">
        <v>134</v>
      </c>
      <c r="C62" s="1" t="s">
        <v>338</v>
      </c>
      <c r="D62" s="17" t="n">
        <v>1538</v>
      </c>
      <c r="E62" s="17" t="n">
        <v>823</v>
      </c>
      <c r="F62" s="17" t="n">
        <v>913</v>
      </c>
      <c r="G62" s="17" t="n">
        <v>561</v>
      </c>
      <c r="H62" s="1" t="s">
        <v>3</v>
      </c>
    </row>
    <row r="63" customFormat="false" ht="15" hidden="false" customHeight="true" outlineLevel="0" collapsed="false">
      <c r="A63" s="1" t="n">
        <v>5062</v>
      </c>
      <c r="B63" s="1" t="s">
        <v>346</v>
      </c>
      <c r="C63" s="1" t="s">
        <v>331</v>
      </c>
      <c r="D63" s="17" t="n">
        <v>1436</v>
      </c>
      <c r="E63" s="17" t="n">
        <v>149</v>
      </c>
      <c r="F63" s="17" t="n">
        <v>905</v>
      </c>
      <c r="G63" s="17" t="n">
        <v>101</v>
      </c>
      <c r="H63" s="1" t="s">
        <v>3</v>
      </c>
    </row>
    <row r="64" customFormat="false" ht="15" hidden="false" customHeight="true" outlineLevel="0" collapsed="false">
      <c r="A64" s="1" t="n">
        <v>5063</v>
      </c>
      <c r="B64" s="1" t="s">
        <v>346</v>
      </c>
      <c r="C64" s="1" t="s">
        <v>338</v>
      </c>
      <c r="D64" s="17" t="n">
        <v>218</v>
      </c>
      <c r="E64" s="17" t="n">
        <v>643</v>
      </c>
      <c r="F64" s="17" t="n">
        <v>114</v>
      </c>
      <c r="G64" s="17" t="n">
        <v>370</v>
      </c>
      <c r="H64" s="1" t="s">
        <v>3</v>
      </c>
    </row>
    <row r="65" customFormat="false" ht="15" hidden="false" customHeight="true" outlineLevel="0" collapsed="false">
      <c r="A65" s="1" t="n">
        <v>5064</v>
      </c>
      <c r="B65" s="1" t="s">
        <v>140</v>
      </c>
      <c r="C65" s="1" t="s">
        <v>338</v>
      </c>
      <c r="D65" s="17" t="n">
        <v>1680</v>
      </c>
      <c r="E65" s="17" t="n">
        <v>475</v>
      </c>
      <c r="F65" s="17" t="n">
        <v>815</v>
      </c>
      <c r="G65" s="17" t="n">
        <v>273</v>
      </c>
      <c r="H65" s="1" t="s">
        <v>3</v>
      </c>
    </row>
    <row r="66" customFormat="false" ht="15" hidden="false" customHeight="true" outlineLevel="0" collapsed="false">
      <c r="A66" s="1" t="n">
        <v>5065</v>
      </c>
      <c r="B66" s="1" t="s">
        <v>255</v>
      </c>
      <c r="C66" s="1" t="s">
        <v>338</v>
      </c>
      <c r="D66" s="17" t="n">
        <v>1237</v>
      </c>
      <c r="E66" s="17" t="n">
        <v>563</v>
      </c>
      <c r="F66" s="17" t="n">
        <v>782</v>
      </c>
      <c r="G66" s="17" t="n">
        <v>403</v>
      </c>
      <c r="H66" s="1" t="s">
        <v>3</v>
      </c>
    </row>
    <row r="67" customFormat="false" ht="15" hidden="false" customHeight="true" outlineLevel="0" collapsed="false">
      <c r="A67" s="1" t="n">
        <v>5066</v>
      </c>
      <c r="B67" s="1" t="s">
        <v>347</v>
      </c>
      <c r="C67" s="1" t="s">
        <v>338</v>
      </c>
      <c r="D67" s="17" t="n">
        <v>754</v>
      </c>
      <c r="E67" s="17" t="n">
        <v>814</v>
      </c>
      <c r="F67" s="17" t="n">
        <v>470</v>
      </c>
      <c r="G67" s="17" t="n">
        <v>578</v>
      </c>
      <c r="H67" s="1" t="s">
        <v>3</v>
      </c>
    </row>
    <row r="68" customFormat="false" ht="15" hidden="false" customHeight="true" outlineLevel="0" collapsed="false">
      <c r="A68" s="1" t="n">
        <v>5067</v>
      </c>
      <c r="B68" s="1" t="s">
        <v>157</v>
      </c>
      <c r="C68" s="1" t="s">
        <v>331</v>
      </c>
      <c r="D68" s="17" t="n">
        <v>438</v>
      </c>
      <c r="E68" s="17" t="n">
        <v>822</v>
      </c>
      <c r="F68" s="17" t="n">
        <v>281</v>
      </c>
      <c r="G68" s="17" t="n">
        <v>593</v>
      </c>
      <c r="H68" s="1" t="s">
        <v>3</v>
      </c>
    </row>
    <row r="69" customFormat="false" ht="15" hidden="false" customHeight="true" outlineLevel="0" collapsed="false">
      <c r="A69" s="1" t="n">
        <v>5068</v>
      </c>
      <c r="B69" s="1" t="s">
        <v>268</v>
      </c>
      <c r="C69" s="1" t="s">
        <v>336</v>
      </c>
      <c r="D69" s="17" t="n">
        <v>963</v>
      </c>
      <c r="E69" s="17" t="n">
        <v>873</v>
      </c>
      <c r="F69" s="17" t="n">
        <v>540</v>
      </c>
      <c r="G69" s="17" t="n">
        <v>495</v>
      </c>
      <c r="H69" s="1" t="s">
        <v>3</v>
      </c>
    </row>
    <row r="70" customFormat="false" ht="15" hidden="false" customHeight="true" outlineLevel="0" collapsed="false">
      <c r="A70" s="1" t="n">
        <v>5069</v>
      </c>
      <c r="B70" s="1" t="s">
        <v>157</v>
      </c>
      <c r="C70" s="1" t="s">
        <v>331</v>
      </c>
      <c r="D70" s="17" t="n">
        <v>691</v>
      </c>
      <c r="E70" s="17" t="n">
        <v>599</v>
      </c>
      <c r="F70" s="17" t="n">
        <v>328</v>
      </c>
      <c r="G70" s="17" t="n">
        <v>373</v>
      </c>
      <c r="H70" s="1" t="s">
        <v>3</v>
      </c>
    </row>
    <row r="71" customFormat="false" ht="15" hidden="false" customHeight="true" outlineLevel="0" collapsed="false">
      <c r="A71" s="1" t="n">
        <v>5070</v>
      </c>
      <c r="B71" s="1" t="s">
        <v>345</v>
      </c>
      <c r="C71" s="1" t="s">
        <v>336</v>
      </c>
      <c r="D71" s="17" t="n">
        <v>686</v>
      </c>
      <c r="E71" s="17" t="n">
        <v>648</v>
      </c>
      <c r="F71" s="17" t="n">
        <v>360</v>
      </c>
      <c r="G71" s="17" t="n">
        <v>439</v>
      </c>
      <c r="H71" s="1" t="s">
        <v>3</v>
      </c>
    </row>
    <row r="72" customFormat="false" ht="15" hidden="false" customHeight="true" outlineLevel="0" collapsed="false">
      <c r="A72" s="1" t="n">
        <v>5071</v>
      </c>
      <c r="B72" s="1" t="s">
        <v>140</v>
      </c>
      <c r="C72" s="1" t="s">
        <v>331</v>
      </c>
      <c r="D72" s="17" t="n">
        <v>1532</v>
      </c>
      <c r="E72" s="17" t="n">
        <v>289</v>
      </c>
      <c r="F72" s="17" t="n">
        <v>833</v>
      </c>
      <c r="G72" s="17" t="n">
        <v>194</v>
      </c>
      <c r="H72" s="1" t="s">
        <v>3</v>
      </c>
    </row>
    <row r="73" customFormat="false" ht="15" hidden="false" customHeight="true" outlineLevel="0" collapsed="false">
      <c r="A73" s="1" t="n">
        <v>5072</v>
      </c>
      <c r="B73" s="1" t="s">
        <v>347</v>
      </c>
      <c r="C73" s="1" t="s">
        <v>338</v>
      </c>
      <c r="D73" s="17" t="n">
        <v>1399</v>
      </c>
      <c r="E73" s="17" t="n">
        <v>276</v>
      </c>
      <c r="F73" s="17" t="n">
        <v>810</v>
      </c>
      <c r="G73" s="17" t="n">
        <v>186</v>
      </c>
      <c r="H73" s="1" t="s">
        <v>3</v>
      </c>
    </row>
    <row r="74" customFormat="false" ht="15" hidden="false" customHeight="true" outlineLevel="0" collapsed="false">
      <c r="A74" s="1" t="n">
        <v>5073</v>
      </c>
      <c r="B74" s="1" t="s">
        <v>261</v>
      </c>
      <c r="C74" s="1" t="s">
        <v>336</v>
      </c>
      <c r="D74" s="17" t="n">
        <v>768</v>
      </c>
      <c r="E74" s="17" t="n">
        <v>714</v>
      </c>
      <c r="F74" s="17" t="n">
        <v>408</v>
      </c>
      <c r="G74" s="17" t="n">
        <v>412</v>
      </c>
      <c r="H74" s="1" t="s">
        <v>3</v>
      </c>
    </row>
    <row r="75" customFormat="false" ht="15" hidden="false" customHeight="true" outlineLevel="0" collapsed="false">
      <c r="A75" s="1" t="n">
        <v>5074</v>
      </c>
      <c r="B75" s="1" t="s">
        <v>258</v>
      </c>
      <c r="C75" s="1" t="s">
        <v>338</v>
      </c>
      <c r="D75" s="17" t="n">
        <v>1158</v>
      </c>
      <c r="E75" s="17" t="n">
        <v>168</v>
      </c>
      <c r="F75" s="17" t="n">
        <v>543</v>
      </c>
      <c r="G75" s="17" t="n">
        <v>122</v>
      </c>
      <c r="H75" s="1" t="s">
        <v>3</v>
      </c>
    </row>
    <row r="76" customFormat="false" ht="15" hidden="false" customHeight="true" outlineLevel="0" collapsed="false">
      <c r="A76" s="1" t="n">
        <v>5075</v>
      </c>
      <c r="B76" s="1" t="s">
        <v>140</v>
      </c>
      <c r="C76" s="1" t="s">
        <v>338</v>
      </c>
      <c r="D76" s="17" t="n">
        <v>1079</v>
      </c>
      <c r="E76" s="17" t="n">
        <v>429</v>
      </c>
      <c r="F76" s="17" t="n">
        <v>630</v>
      </c>
      <c r="G76" s="17" t="n">
        <v>299</v>
      </c>
      <c r="H76" s="1" t="s">
        <v>3</v>
      </c>
    </row>
    <row r="77" customFormat="false" ht="15" hidden="false" customHeight="true" outlineLevel="0" collapsed="false">
      <c r="A77" s="1" t="n">
        <v>5076</v>
      </c>
      <c r="B77" s="1" t="s">
        <v>143</v>
      </c>
      <c r="C77" s="1" t="s">
        <v>338</v>
      </c>
      <c r="D77" s="17" t="n">
        <v>1352</v>
      </c>
      <c r="E77" s="17" t="n">
        <v>810</v>
      </c>
      <c r="F77" s="17" t="n">
        <v>804</v>
      </c>
      <c r="G77" s="17" t="n">
        <v>588</v>
      </c>
      <c r="H77" s="1" t="s">
        <v>3</v>
      </c>
    </row>
    <row r="78" customFormat="false" ht="15" hidden="false" customHeight="true" outlineLevel="0" collapsed="false">
      <c r="A78" s="1" t="n">
        <v>5077</v>
      </c>
      <c r="B78" s="1" t="s">
        <v>261</v>
      </c>
      <c r="C78" s="1" t="s">
        <v>331</v>
      </c>
      <c r="D78" s="17" t="n">
        <v>1152</v>
      </c>
      <c r="E78" s="17" t="n">
        <v>680</v>
      </c>
      <c r="F78" s="17" t="n">
        <v>612</v>
      </c>
      <c r="G78" s="17" t="n">
        <v>503</v>
      </c>
      <c r="H78" s="1" t="s">
        <v>3</v>
      </c>
    </row>
    <row r="79" customFormat="false" ht="15" hidden="false" customHeight="true" outlineLevel="0" collapsed="false">
      <c r="A79" s="1" t="n">
        <v>5078</v>
      </c>
      <c r="B79" s="1" t="s">
        <v>252</v>
      </c>
      <c r="C79" s="1" t="s">
        <v>336</v>
      </c>
      <c r="D79" s="17" t="n">
        <v>908</v>
      </c>
      <c r="E79" s="17" t="n">
        <v>272</v>
      </c>
      <c r="F79" s="17" t="n">
        <v>489</v>
      </c>
      <c r="G79" s="17" t="n">
        <v>201</v>
      </c>
      <c r="H79" s="1" t="s">
        <v>3</v>
      </c>
    </row>
    <row r="80" customFormat="false" ht="15" hidden="false" customHeight="true" outlineLevel="0" collapsed="false">
      <c r="A80" s="1" t="n">
        <v>5079</v>
      </c>
      <c r="B80" s="1" t="s">
        <v>143</v>
      </c>
      <c r="C80" s="1" t="s">
        <v>338</v>
      </c>
      <c r="D80" s="17" t="n">
        <v>353</v>
      </c>
      <c r="E80" s="17" t="n">
        <v>752</v>
      </c>
      <c r="F80" s="17" t="n">
        <v>184</v>
      </c>
      <c r="G80" s="17" t="n">
        <v>549</v>
      </c>
      <c r="H80" s="1" t="s">
        <v>3</v>
      </c>
    </row>
    <row r="81" customFormat="false" ht="15" hidden="false" customHeight="true" outlineLevel="0" collapsed="false">
      <c r="A81" s="1" t="n">
        <v>5080</v>
      </c>
      <c r="B81" s="1" t="s">
        <v>252</v>
      </c>
      <c r="C81" s="1" t="s">
        <v>338</v>
      </c>
      <c r="D81" s="17" t="n">
        <v>274</v>
      </c>
      <c r="E81" s="17" t="n">
        <v>457</v>
      </c>
      <c r="F81" s="17" t="n">
        <v>138</v>
      </c>
      <c r="G81" s="17" t="n">
        <v>339</v>
      </c>
      <c r="H81" s="1" t="s">
        <v>3</v>
      </c>
    </row>
    <row r="82" customFormat="false" ht="15" hidden="false" customHeight="true" outlineLevel="0" collapsed="false">
      <c r="A82" s="1" t="n">
        <v>5081</v>
      </c>
      <c r="B82" s="1" t="s">
        <v>348</v>
      </c>
      <c r="C82" s="1" t="s">
        <v>338</v>
      </c>
      <c r="D82" s="17" t="n">
        <v>337</v>
      </c>
      <c r="E82" s="17" t="n">
        <v>728</v>
      </c>
      <c r="F82" s="17" t="n">
        <v>165</v>
      </c>
      <c r="G82" s="17" t="n">
        <v>493</v>
      </c>
      <c r="H82" s="1" t="s">
        <v>3</v>
      </c>
    </row>
    <row r="83" customFormat="false" ht="15" hidden="false" customHeight="true" outlineLevel="0" collapsed="false">
      <c r="A83" s="1" t="n">
        <v>5082</v>
      </c>
      <c r="B83" s="1" t="s">
        <v>152</v>
      </c>
      <c r="C83" s="1" t="s">
        <v>331</v>
      </c>
      <c r="D83" s="17" t="n">
        <v>1761</v>
      </c>
      <c r="E83" s="17" t="n">
        <v>391</v>
      </c>
      <c r="F83" s="17" t="n">
        <v>878</v>
      </c>
      <c r="G83" s="17" t="n">
        <v>224</v>
      </c>
      <c r="H83" s="1" t="s">
        <v>3</v>
      </c>
    </row>
    <row r="84" customFormat="false" ht="15" hidden="false" customHeight="true" outlineLevel="0" collapsed="false">
      <c r="A84" s="1" t="n">
        <v>5083</v>
      </c>
      <c r="B84" s="1" t="s">
        <v>349</v>
      </c>
      <c r="C84" s="1" t="s">
        <v>331</v>
      </c>
      <c r="D84" s="17" t="n">
        <v>290</v>
      </c>
      <c r="E84" s="17" t="n">
        <v>899</v>
      </c>
      <c r="F84" s="17" t="n">
        <v>174</v>
      </c>
      <c r="G84" s="17" t="n">
        <v>531</v>
      </c>
      <c r="H84" s="1" t="s">
        <v>3</v>
      </c>
    </row>
    <row r="85" customFormat="false" ht="15" hidden="false" customHeight="true" outlineLevel="0" collapsed="false">
      <c r="A85" s="1" t="n">
        <v>5084</v>
      </c>
      <c r="B85" s="1" t="s">
        <v>348</v>
      </c>
      <c r="C85" s="1" t="s">
        <v>331</v>
      </c>
      <c r="D85" s="17" t="n">
        <v>822</v>
      </c>
      <c r="E85" s="17" t="n">
        <v>842</v>
      </c>
      <c r="F85" s="17" t="n">
        <v>394</v>
      </c>
      <c r="G85" s="17" t="n">
        <v>614</v>
      </c>
      <c r="H85" s="1" t="s">
        <v>3</v>
      </c>
    </row>
    <row r="86" customFormat="false" ht="15" hidden="false" customHeight="true" outlineLevel="0" collapsed="false">
      <c r="A86" s="1" t="n">
        <v>5085</v>
      </c>
      <c r="B86" s="1" t="s">
        <v>165</v>
      </c>
      <c r="C86" s="1" t="s">
        <v>338</v>
      </c>
      <c r="D86" s="17" t="n">
        <v>446</v>
      </c>
      <c r="E86" s="17" t="n">
        <v>183</v>
      </c>
      <c r="F86" s="17" t="n">
        <v>248</v>
      </c>
      <c r="G86" s="17" t="n">
        <v>129</v>
      </c>
      <c r="H86" s="1" t="s">
        <v>3</v>
      </c>
    </row>
    <row r="87" customFormat="false" ht="15" hidden="false" customHeight="true" outlineLevel="0" collapsed="false">
      <c r="A87" s="1" t="n">
        <v>5086</v>
      </c>
      <c r="B87" s="1" t="s">
        <v>350</v>
      </c>
      <c r="C87" s="1" t="s">
        <v>336</v>
      </c>
      <c r="D87" s="17" t="n">
        <v>202</v>
      </c>
      <c r="E87" s="17" t="n">
        <v>184</v>
      </c>
      <c r="F87" s="17" t="n">
        <v>91</v>
      </c>
      <c r="G87" s="17" t="n">
        <v>130</v>
      </c>
      <c r="H87" s="1" t="s">
        <v>3</v>
      </c>
    </row>
    <row r="88" customFormat="false" ht="15" hidden="false" customHeight="true" outlineLevel="0" collapsed="false">
      <c r="A88" s="1" t="n">
        <v>5087</v>
      </c>
      <c r="B88" s="1" t="s">
        <v>157</v>
      </c>
      <c r="C88" s="1" t="s">
        <v>336</v>
      </c>
      <c r="D88" s="17" t="n">
        <v>813</v>
      </c>
      <c r="E88" s="17" t="n">
        <v>66</v>
      </c>
      <c r="F88" s="17" t="n">
        <v>394</v>
      </c>
      <c r="G88" s="17" t="n">
        <v>36</v>
      </c>
      <c r="H88" s="1" t="s">
        <v>3</v>
      </c>
    </row>
    <row r="89" customFormat="false" ht="15" hidden="false" customHeight="true" outlineLevel="0" collapsed="false">
      <c r="A89" s="1" t="n">
        <v>5088</v>
      </c>
      <c r="B89" s="1" t="s">
        <v>146</v>
      </c>
      <c r="C89" s="1" t="s">
        <v>338</v>
      </c>
      <c r="D89" s="17" t="n">
        <v>1227</v>
      </c>
      <c r="E89" s="17" t="n">
        <v>166</v>
      </c>
      <c r="F89" s="17" t="n">
        <v>735</v>
      </c>
      <c r="G89" s="17" t="n">
        <v>107</v>
      </c>
      <c r="H89" s="1" t="s">
        <v>3</v>
      </c>
    </row>
    <row r="90" customFormat="false" ht="15" hidden="false" customHeight="true" outlineLevel="0" collapsed="false">
      <c r="A90" s="1" t="n">
        <v>5089</v>
      </c>
      <c r="B90" s="1" t="s">
        <v>168</v>
      </c>
      <c r="C90" s="1" t="s">
        <v>338</v>
      </c>
      <c r="D90" s="17" t="n">
        <v>1201</v>
      </c>
      <c r="E90" s="17" t="n">
        <v>657</v>
      </c>
      <c r="F90" s="17" t="n">
        <v>566</v>
      </c>
      <c r="G90" s="17" t="n">
        <v>427</v>
      </c>
      <c r="H90" s="1" t="s">
        <v>3</v>
      </c>
    </row>
    <row r="91" customFormat="false" ht="15" hidden="false" customHeight="true" outlineLevel="0" collapsed="false">
      <c r="A91" s="1" t="n">
        <v>5090</v>
      </c>
      <c r="B91" s="1" t="s">
        <v>346</v>
      </c>
      <c r="C91" s="1" t="s">
        <v>331</v>
      </c>
      <c r="D91" s="17" t="n">
        <v>1639</v>
      </c>
      <c r="E91" s="17" t="n">
        <v>852</v>
      </c>
      <c r="F91" s="17" t="n">
        <v>1035</v>
      </c>
      <c r="G91" s="17" t="n">
        <v>580</v>
      </c>
      <c r="H91" s="1" t="s">
        <v>3</v>
      </c>
    </row>
    <row r="92" customFormat="false" ht="15" hidden="false" customHeight="true" outlineLevel="0" collapsed="false">
      <c r="A92" s="1" t="n">
        <v>5091</v>
      </c>
      <c r="B92" s="1" t="s">
        <v>268</v>
      </c>
      <c r="C92" s="1" t="s">
        <v>338</v>
      </c>
      <c r="D92" s="17" t="n">
        <v>1467</v>
      </c>
      <c r="E92" s="17" t="n">
        <v>81</v>
      </c>
      <c r="F92" s="17" t="n">
        <v>677</v>
      </c>
      <c r="G92" s="17" t="n">
        <v>52</v>
      </c>
      <c r="H92" s="1" t="s">
        <v>3</v>
      </c>
    </row>
    <row r="93" customFormat="false" ht="15" hidden="false" customHeight="true" outlineLevel="0" collapsed="false">
      <c r="A93" s="1" t="n">
        <v>5092</v>
      </c>
      <c r="B93" s="1" t="s">
        <v>249</v>
      </c>
      <c r="C93" s="1" t="s">
        <v>338</v>
      </c>
      <c r="D93" s="17" t="n">
        <v>1555</v>
      </c>
      <c r="E93" s="17" t="n">
        <v>160</v>
      </c>
      <c r="F93" s="17" t="n">
        <v>852</v>
      </c>
      <c r="G93" s="17" t="n">
        <v>117</v>
      </c>
      <c r="H93" s="1" t="s">
        <v>3</v>
      </c>
    </row>
    <row r="94" customFormat="false" ht="15" hidden="false" customHeight="true" outlineLevel="0" collapsed="false">
      <c r="A94" s="1" t="n">
        <v>5093</v>
      </c>
      <c r="B94" s="1" t="s">
        <v>168</v>
      </c>
      <c r="C94" s="1" t="s">
        <v>331</v>
      </c>
      <c r="D94" s="17" t="n">
        <v>809</v>
      </c>
      <c r="E94" s="17" t="n">
        <v>672</v>
      </c>
      <c r="F94" s="17" t="n">
        <v>388</v>
      </c>
      <c r="G94" s="17" t="n">
        <v>386</v>
      </c>
      <c r="H94" s="1" t="s">
        <v>3</v>
      </c>
    </row>
    <row r="95" customFormat="false" ht="15" hidden="false" customHeight="true" outlineLevel="0" collapsed="false">
      <c r="A95" s="1" t="n">
        <v>5094</v>
      </c>
      <c r="B95" s="1" t="s">
        <v>168</v>
      </c>
      <c r="C95" s="1" t="s">
        <v>336</v>
      </c>
      <c r="D95" s="17" t="n">
        <v>1348</v>
      </c>
      <c r="E95" s="17" t="n">
        <v>611</v>
      </c>
      <c r="F95" s="17" t="n">
        <v>798</v>
      </c>
      <c r="G95" s="17" t="n">
        <v>382</v>
      </c>
      <c r="H95" s="1" t="s">
        <v>3</v>
      </c>
    </row>
    <row r="96" customFormat="false" ht="15" hidden="false" customHeight="true" outlineLevel="0" collapsed="false">
      <c r="A96" s="1" t="n">
        <v>5095</v>
      </c>
      <c r="B96" s="1" t="s">
        <v>351</v>
      </c>
      <c r="C96" s="1" t="s">
        <v>336</v>
      </c>
      <c r="D96" s="17" t="n">
        <v>753</v>
      </c>
      <c r="E96" s="17" t="n">
        <v>514</v>
      </c>
      <c r="F96" s="17" t="n">
        <v>414</v>
      </c>
      <c r="G96" s="17" t="n">
        <v>326</v>
      </c>
      <c r="H96" s="1" t="s">
        <v>3</v>
      </c>
    </row>
    <row r="97" customFormat="false" ht="15" hidden="false" customHeight="true" outlineLevel="0" collapsed="false">
      <c r="A97" s="1" t="n">
        <v>5096</v>
      </c>
      <c r="B97" s="1" t="s">
        <v>157</v>
      </c>
      <c r="C97" s="1" t="s">
        <v>336</v>
      </c>
      <c r="D97" s="17" t="n">
        <v>384</v>
      </c>
      <c r="E97" s="17" t="n">
        <v>720</v>
      </c>
      <c r="F97" s="17" t="n">
        <v>222</v>
      </c>
      <c r="G97" s="17" t="n">
        <v>506</v>
      </c>
      <c r="H97" s="1" t="s">
        <v>3</v>
      </c>
    </row>
    <row r="98" customFormat="false" ht="15" hidden="false" customHeight="true" outlineLevel="0" collapsed="false">
      <c r="A98" s="1" t="n">
        <v>5097</v>
      </c>
      <c r="B98" s="1" t="s">
        <v>134</v>
      </c>
      <c r="C98" s="1" t="s">
        <v>331</v>
      </c>
      <c r="D98" s="17" t="n">
        <v>1030</v>
      </c>
      <c r="E98" s="17" t="n">
        <v>512</v>
      </c>
      <c r="F98" s="17" t="n">
        <v>646</v>
      </c>
      <c r="G98" s="17" t="n">
        <v>323</v>
      </c>
      <c r="H98" s="1" t="s">
        <v>3</v>
      </c>
    </row>
    <row r="99" customFormat="false" ht="15" hidden="false" customHeight="true" outlineLevel="0" collapsed="false">
      <c r="A99" s="1" t="n">
        <v>5098</v>
      </c>
      <c r="B99" s="1" t="s">
        <v>149</v>
      </c>
      <c r="C99" s="1" t="s">
        <v>338</v>
      </c>
      <c r="D99" s="17" t="n">
        <v>966</v>
      </c>
      <c r="E99" s="17" t="n">
        <v>475</v>
      </c>
      <c r="F99" s="17" t="n">
        <v>575</v>
      </c>
      <c r="G99" s="17" t="n">
        <v>290</v>
      </c>
      <c r="H99" s="1" t="s">
        <v>3</v>
      </c>
    </row>
    <row r="100" customFormat="false" ht="15" hidden="false" customHeight="true" outlineLevel="0" collapsed="false">
      <c r="A100" s="1" t="n">
        <v>5099</v>
      </c>
      <c r="B100" s="1" t="s">
        <v>352</v>
      </c>
      <c r="C100" s="1" t="s">
        <v>336</v>
      </c>
      <c r="D100" s="17" t="n">
        <v>672</v>
      </c>
      <c r="E100" s="17" t="n">
        <v>433</v>
      </c>
      <c r="F100" s="17" t="n">
        <v>430</v>
      </c>
      <c r="G100" s="17" t="n">
        <v>297</v>
      </c>
      <c r="H100" s="1" t="s">
        <v>3</v>
      </c>
    </row>
    <row r="101" customFormat="false" ht="15" hidden="false" customHeight="true" outlineLevel="0" collapsed="false">
      <c r="A101" s="1" t="n">
        <v>5100</v>
      </c>
      <c r="B101" s="1" t="s">
        <v>157</v>
      </c>
      <c r="C101" s="1" t="s">
        <v>331</v>
      </c>
      <c r="D101" s="17" t="n">
        <v>336</v>
      </c>
      <c r="E101" s="17" t="n">
        <v>137</v>
      </c>
      <c r="F101" s="17" t="n">
        <v>157</v>
      </c>
      <c r="G101" s="17" t="n">
        <v>77</v>
      </c>
      <c r="H101" s="1" t="s">
        <v>3</v>
      </c>
    </row>
    <row r="102" customFormat="false" ht="15" hidden="false" customHeight="true" outlineLevel="0" collapsed="false">
      <c r="A102" s="1" t="n">
        <v>5101</v>
      </c>
      <c r="B102" s="1" t="s">
        <v>140</v>
      </c>
      <c r="C102" s="1" t="s">
        <v>338</v>
      </c>
      <c r="D102" s="17" t="n">
        <v>416</v>
      </c>
      <c r="E102" s="17" t="n">
        <v>619</v>
      </c>
      <c r="F102" s="17" t="n">
        <v>192</v>
      </c>
      <c r="G102" s="17" t="n">
        <v>458</v>
      </c>
      <c r="H102" s="1" t="s">
        <v>3</v>
      </c>
    </row>
    <row r="103" customFormat="false" ht="15" hidden="false" customHeight="true" outlineLevel="0" collapsed="false">
      <c r="A103" s="1" t="n">
        <v>5102</v>
      </c>
      <c r="B103" s="1" t="s">
        <v>146</v>
      </c>
      <c r="C103" s="1" t="s">
        <v>338</v>
      </c>
      <c r="D103" s="17" t="n">
        <v>1522</v>
      </c>
      <c r="E103" s="17" t="n">
        <v>175</v>
      </c>
      <c r="F103" s="17" t="n">
        <v>809</v>
      </c>
      <c r="G103" s="17" t="n">
        <v>126</v>
      </c>
      <c r="H103" s="1" t="s">
        <v>3</v>
      </c>
    </row>
    <row r="104" customFormat="false" ht="15" hidden="false" customHeight="true" outlineLevel="0" collapsed="false">
      <c r="A104" s="1" t="n">
        <v>5103</v>
      </c>
      <c r="B104" s="1" t="s">
        <v>345</v>
      </c>
      <c r="C104" s="1" t="s">
        <v>338</v>
      </c>
      <c r="D104" s="17" t="n">
        <v>1626</v>
      </c>
      <c r="E104" s="17" t="n">
        <v>102</v>
      </c>
      <c r="F104" s="17" t="n">
        <v>1046</v>
      </c>
      <c r="G104" s="17" t="n">
        <v>68</v>
      </c>
      <c r="H104" s="1" t="s">
        <v>3</v>
      </c>
    </row>
    <row r="105" customFormat="false" ht="15" hidden="false" customHeight="true" outlineLevel="0" collapsed="false">
      <c r="A105" s="1" t="n">
        <v>5104</v>
      </c>
      <c r="B105" s="1" t="s">
        <v>350</v>
      </c>
      <c r="C105" s="1" t="s">
        <v>331</v>
      </c>
      <c r="D105" s="17" t="n">
        <v>1333</v>
      </c>
      <c r="E105" s="17" t="n">
        <v>569</v>
      </c>
      <c r="F105" s="17" t="n">
        <v>656</v>
      </c>
      <c r="G105" s="17" t="n">
        <v>387</v>
      </c>
      <c r="H105" s="1" t="s">
        <v>3</v>
      </c>
    </row>
    <row r="106" customFormat="false" ht="15" hidden="false" customHeight="true" outlineLevel="0" collapsed="false">
      <c r="A106" s="1" t="n">
        <v>5105</v>
      </c>
      <c r="B106" s="1" t="s">
        <v>152</v>
      </c>
      <c r="C106" s="1" t="s">
        <v>331</v>
      </c>
      <c r="D106" s="17" t="n">
        <v>867</v>
      </c>
      <c r="E106" s="17" t="n">
        <v>619</v>
      </c>
      <c r="F106" s="17" t="n">
        <v>453</v>
      </c>
      <c r="G106" s="17" t="n">
        <v>434</v>
      </c>
      <c r="H106" s="1" t="s">
        <v>3</v>
      </c>
    </row>
    <row r="107" customFormat="false" ht="15" hidden="false" customHeight="true" outlineLevel="0" collapsed="false">
      <c r="A107" s="1" t="n">
        <v>5106</v>
      </c>
      <c r="B107" s="1" t="s">
        <v>168</v>
      </c>
      <c r="C107" s="1" t="s">
        <v>331</v>
      </c>
      <c r="D107" s="17" t="n">
        <v>1028</v>
      </c>
      <c r="E107" s="17" t="n">
        <v>624</v>
      </c>
      <c r="F107" s="17" t="n">
        <v>662</v>
      </c>
      <c r="G107" s="17" t="n">
        <v>445</v>
      </c>
      <c r="H107" s="1" t="s">
        <v>3</v>
      </c>
    </row>
    <row r="108" customFormat="false" ht="15" hidden="false" customHeight="true" outlineLevel="0" collapsed="false">
      <c r="A108" s="1" t="n">
        <v>5107</v>
      </c>
      <c r="B108" s="1" t="s">
        <v>134</v>
      </c>
      <c r="C108" s="1" t="s">
        <v>336</v>
      </c>
      <c r="D108" s="17" t="n">
        <v>1466</v>
      </c>
      <c r="E108" s="17" t="n">
        <v>620</v>
      </c>
      <c r="F108" s="17" t="n">
        <v>667</v>
      </c>
      <c r="G108" s="17" t="n">
        <v>456</v>
      </c>
      <c r="H108" s="1" t="s">
        <v>3</v>
      </c>
    </row>
    <row r="109" customFormat="false" ht="15" hidden="false" customHeight="true" outlineLevel="0" collapsed="false">
      <c r="A109" s="1" t="n">
        <v>5108</v>
      </c>
      <c r="B109" s="1" t="s">
        <v>346</v>
      </c>
      <c r="C109" s="1" t="s">
        <v>336</v>
      </c>
      <c r="D109" s="17" t="n">
        <v>697</v>
      </c>
      <c r="E109" s="17" t="n">
        <v>79</v>
      </c>
      <c r="F109" s="17" t="n">
        <v>338</v>
      </c>
      <c r="G109" s="17" t="n">
        <v>54</v>
      </c>
      <c r="H109" s="1" t="s">
        <v>3</v>
      </c>
    </row>
    <row r="110" customFormat="false" ht="15" hidden="false" customHeight="true" outlineLevel="0" collapsed="false">
      <c r="A110" s="1" t="n">
        <v>5109</v>
      </c>
      <c r="B110" s="1" t="s">
        <v>137</v>
      </c>
      <c r="C110" s="1" t="s">
        <v>338</v>
      </c>
      <c r="D110" s="17" t="n">
        <v>868</v>
      </c>
      <c r="E110" s="17" t="n">
        <v>56</v>
      </c>
      <c r="F110" s="17" t="n">
        <v>422</v>
      </c>
      <c r="G110" s="17" t="n">
        <v>32</v>
      </c>
      <c r="H110" s="1" t="s">
        <v>3</v>
      </c>
    </row>
    <row r="111" customFormat="false" ht="15" hidden="false" customHeight="true" outlineLevel="0" collapsed="false">
      <c r="A111" s="1" t="n">
        <v>5110</v>
      </c>
      <c r="B111" s="1" t="s">
        <v>249</v>
      </c>
      <c r="C111" s="1" t="s">
        <v>338</v>
      </c>
      <c r="D111" s="17" t="n">
        <v>292</v>
      </c>
      <c r="E111" s="17" t="n">
        <v>195</v>
      </c>
      <c r="F111" s="17" t="n">
        <v>174</v>
      </c>
      <c r="G111" s="17" t="n">
        <v>145</v>
      </c>
      <c r="H111" s="1" t="s">
        <v>3</v>
      </c>
    </row>
    <row r="112" customFormat="false" ht="15" hidden="false" customHeight="true" outlineLevel="0" collapsed="false">
      <c r="A112" s="1" t="n">
        <v>5111</v>
      </c>
      <c r="B112" s="1" t="s">
        <v>353</v>
      </c>
      <c r="C112" s="1" t="s">
        <v>336</v>
      </c>
      <c r="D112" s="17" t="n">
        <v>1236</v>
      </c>
      <c r="E112" s="17" t="n">
        <v>270</v>
      </c>
      <c r="F112" s="17" t="n">
        <v>649</v>
      </c>
      <c r="G112" s="17" t="n">
        <v>172</v>
      </c>
      <c r="H112" s="1" t="s">
        <v>4</v>
      </c>
    </row>
    <row r="113" customFormat="false" ht="15" hidden="false" customHeight="true" outlineLevel="0" collapsed="false">
      <c r="A113" s="1" t="n">
        <v>5112</v>
      </c>
      <c r="B113" s="1" t="s">
        <v>354</v>
      </c>
      <c r="C113" s="1" t="s">
        <v>338</v>
      </c>
      <c r="D113" s="17" t="n">
        <v>788</v>
      </c>
      <c r="E113" s="17" t="n">
        <v>788</v>
      </c>
      <c r="F113" s="17" t="n">
        <v>405</v>
      </c>
      <c r="G113" s="17" t="n">
        <v>581</v>
      </c>
      <c r="H113" s="1" t="s">
        <v>4</v>
      </c>
    </row>
    <row r="114" customFormat="false" ht="15" hidden="false" customHeight="true" outlineLevel="0" collapsed="false">
      <c r="A114" s="1" t="n">
        <v>5113</v>
      </c>
      <c r="B114" s="1" t="s">
        <v>174</v>
      </c>
      <c r="C114" s="1" t="s">
        <v>331</v>
      </c>
      <c r="D114" s="17" t="n">
        <v>257</v>
      </c>
      <c r="E114" s="17" t="n">
        <v>209</v>
      </c>
      <c r="F114" s="17" t="n">
        <v>123</v>
      </c>
      <c r="G114" s="17" t="n">
        <v>140</v>
      </c>
      <c r="H114" s="1" t="s">
        <v>4</v>
      </c>
    </row>
    <row r="115" customFormat="false" ht="15" hidden="false" customHeight="true" outlineLevel="0" collapsed="false">
      <c r="A115" s="1" t="n">
        <v>5114</v>
      </c>
      <c r="B115" s="1" t="s">
        <v>355</v>
      </c>
      <c r="C115" s="1" t="s">
        <v>331</v>
      </c>
      <c r="D115" s="17" t="n">
        <v>707</v>
      </c>
      <c r="E115" s="17" t="n">
        <v>503</v>
      </c>
      <c r="F115" s="17" t="n">
        <v>411</v>
      </c>
      <c r="G115" s="17" t="n">
        <v>325</v>
      </c>
      <c r="H115" s="1" t="s">
        <v>4</v>
      </c>
    </row>
    <row r="116" customFormat="false" ht="15" hidden="false" customHeight="true" outlineLevel="0" collapsed="false">
      <c r="A116" s="1" t="n">
        <v>5115</v>
      </c>
      <c r="B116" s="1" t="s">
        <v>203</v>
      </c>
      <c r="C116" s="1" t="s">
        <v>338</v>
      </c>
      <c r="D116" s="17" t="n">
        <v>709</v>
      </c>
      <c r="E116" s="17" t="n">
        <v>270</v>
      </c>
      <c r="F116" s="17" t="n">
        <v>426</v>
      </c>
      <c r="G116" s="17" t="n">
        <v>154</v>
      </c>
      <c r="H116" s="1" t="s">
        <v>4</v>
      </c>
    </row>
    <row r="117" customFormat="false" ht="15" hidden="false" customHeight="true" outlineLevel="0" collapsed="false">
      <c r="A117" s="1" t="n">
        <v>5116</v>
      </c>
      <c r="B117" s="1" t="s">
        <v>174</v>
      </c>
      <c r="C117" s="1" t="s">
        <v>331</v>
      </c>
      <c r="D117" s="17" t="n">
        <v>730</v>
      </c>
      <c r="E117" s="17" t="n">
        <v>744</v>
      </c>
      <c r="F117" s="17" t="n">
        <v>427</v>
      </c>
      <c r="G117" s="17" t="n">
        <v>481</v>
      </c>
      <c r="H117" s="1" t="s">
        <v>4</v>
      </c>
    </row>
    <row r="118" customFormat="false" ht="15" hidden="false" customHeight="true" outlineLevel="0" collapsed="false">
      <c r="A118" s="1" t="n">
        <v>5117</v>
      </c>
      <c r="B118" s="1" t="s">
        <v>188</v>
      </c>
      <c r="C118" s="1" t="s">
        <v>338</v>
      </c>
      <c r="D118" s="17" t="n">
        <v>243</v>
      </c>
      <c r="E118" s="17" t="n">
        <v>275</v>
      </c>
      <c r="F118" s="17" t="n">
        <v>128</v>
      </c>
      <c r="G118" s="17" t="n">
        <v>184</v>
      </c>
      <c r="H118" s="1" t="s">
        <v>4</v>
      </c>
    </row>
    <row r="119" customFormat="false" ht="15" hidden="false" customHeight="true" outlineLevel="0" collapsed="false">
      <c r="A119" s="1" t="n">
        <v>5118</v>
      </c>
      <c r="B119" s="1" t="s">
        <v>356</v>
      </c>
      <c r="C119" s="1" t="s">
        <v>331</v>
      </c>
      <c r="D119" s="17" t="n">
        <v>767</v>
      </c>
      <c r="E119" s="17" t="n">
        <v>266</v>
      </c>
      <c r="F119" s="17" t="n">
        <v>462</v>
      </c>
      <c r="G119" s="17" t="n">
        <v>186</v>
      </c>
      <c r="H119" s="1" t="s">
        <v>4</v>
      </c>
    </row>
    <row r="120" customFormat="false" ht="15" hidden="false" customHeight="true" outlineLevel="0" collapsed="false">
      <c r="A120" s="1" t="n">
        <v>5119</v>
      </c>
      <c r="B120" s="1" t="s">
        <v>290</v>
      </c>
      <c r="C120" s="1" t="s">
        <v>338</v>
      </c>
      <c r="D120" s="17" t="n">
        <v>395</v>
      </c>
      <c r="E120" s="17" t="n">
        <v>57</v>
      </c>
      <c r="F120" s="17" t="n">
        <v>217</v>
      </c>
      <c r="G120" s="17" t="n">
        <v>36</v>
      </c>
      <c r="H120" s="1" t="s">
        <v>4</v>
      </c>
    </row>
    <row r="121" customFormat="false" ht="15" hidden="false" customHeight="true" outlineLevel="0" collapsed="false">
      <c r="A121" s="1" t="n">
        <v>5120</v>
      </c>
      <c r="B121" s="1" t="s">
        <v>174</v>
      </c>
      <c r="C121" s="1" t="s">
        <v>338</v>
      </c>
      <c r="D121" s="17" t="n">
        <v>1240</v>
      </c>
      <c r="E121" s="17" t="n">
        <v>770</v>
      </c>
      <c r="F121" s="17" t="n">
        <v>615</v>
      </c>
      <c r="G121" s="17" t="n">
        <v>509</v>
      </c>
      <c r="H121" s="1" t="s">
        <v>4</v>
      </c>
    </row>
    <row r="122" customFormat="false" ht="15" hidden="false" customHeight="true" outlineLevel="0" collapsed="false">
      <c r="A122" s="1" t="n">
        <v>5121</v>
      </c>
      <c r="B122" s="1" t="s">
        <v>188</v>
      </c>
      <c r="C122" s="1" t="s">
        <v>338</v>
      </c>
      <c r="D122" s="17" t="n">
        <v>297</v>
      </c>
      <c r="E122" s="17" t="n">
        <v>456</v>
      </c>
      <c r="F122" s="17" t="n">
        <v>184</v>
      </c>
      <c r="G122" s="17" t="n">
        <v>254</v>
      </c>
      <c r="H122" s="1" t="s">
        <v>4</v>
      </c>
    </row>
    <row r="123" customFormat="false" ht="15" hidden="false" customHeight="true" outlineLevel="0" collapsed="false">
      <c r="A123" s="1" t="n">
        <v>5122</v>
      </c>
      <c r="B123" s="1" t="s">
        <v>285</v>
      </c>
      <c r="C123" s="1" t="s">
        <v>338</v>
      </c>
      <c r="D123" s="17" t="n">
        <v>309</v>
      </c>
      <c r="E123" s="17" t="n">
        <v>370</v>
      </c>
      <c r="F123" s="17" t="n">
        <v>174</v>
      </c>
      <c r="G123" s="17" t="n">
        <v>245</v>
      </c>
      <c r="H123" s="1" t="s">
        <v>4</v>
      </c>
    </row>
    <row r="124" customFormat="false" ht="15" hidden="false" customHeight="true" outlineLevel="0" collapsed="false">
      <c r="A124" s="1" t="n">
        <v>5123</v>
      </c>
      <c r="B124" s="1" t="s">
        <v>278</v>
      </c>
      <c r="C124" s="1" t="s">
        <v>336</v>
      </c>
      <c r="D124" s="17" t="n">
        <v>1005</v>
      </c>
      <c r="E124" s="17" t="n">
        <v>346</v>
      </c>
      <c r="F124" s="17" t="n">
        <v>475</v>
      </c>
      <c r="G124" s="17" t="n">
        <v>191</v>
      </c>
      <c r="H124" s="1" t="s">
        <v>4</v>
      </c>
    </row>
    <row r="125" customFormat="false" ht="15" hidden="false" customHeight="true" outlineLevel="0" collapsed="false">
      <c r="A125" s="1" t="n">
        <v>5124</v>
      </c>
      <c r="B125" s="1" t="s">
        <v>185</v>
      </c>
      <c r="C125" s="1" t="s">
        <v>331</v>
      </c>
      <c r="D125" s="17" t="n">
        <v>1791</v>
      </c>
      <c r="E125" s="17" t="n">
        <v>682</v>
      </c>
      <c r="F125" s="17" t="n">
        <v>970</v>
      </c>
      <c r="G125" s="17" t="n">
        <v>469</v>
      </c>
      <c r="H125" s="1" t="s">
        <v>4</v>
      </c>
    </row>
    <row r="126" customFormat="false" ht="15" hidden="false" customHeight="true" outlineLevel="0" collapsed="false">
      <c r="A126" s="1" t="n">
        <v>5125</v>
      </c>
      <c r="B126" s="1" t="s">
        <v>171</v>
      </c>
      <c r="C126" s="1" t="s">
        <v>331</v>
      </c>
      <c r="D126" s="17" t="n">
        <v>1044</v>
      </c>
      <c r="E126" s="17" t="n">
        <v>158</v>
      </c>
      <c r="F126" s="17" t="n">
        <v>520</v>
      </c>
      <c r="G126" s="17" t="n">
        <v>105</v>
      </c>
      <c r="H126" s="1" t="s">
        <v>4</v>
      </c>
    </row>
    <row r="127" customFormat="false" ht="15" hidden="false" customHeight="true" outlineLevel="0" collapsed="false">
      <c r="A127" s="1" t="n">
        <v>5126</v>
      </c>
      <c r="B127" s="1" t="s">
        <v>357</v>
      </c>
      <c r="C127" s="1" t="s">
        <v>331</v>
      </c>
      <c r="D127" s="17" t="n">
        <v>960</v>
      </c>
      <c r="E127" s="17" t="n">
        <v>367</v>
      </c>
      <c r="F127" s="17" t="n">
        <v>575</v>
      </c>
      <c r="G127" s="17" t="n">
        <v>218</v>
      </c>
      <c r="H127" s="1" t="s">
        <v>4</v>
      </c>
    </row>
    <row r="128" customFormat="false" ht="15" hidden="false" customHeight="true" outlineLevel="0" collapsed="false">
      <c r="A128" s="1" t="n">
        <v>5127</v>
      </c>
      <c r="B128" s="1" t="s">
        <v>295</v>
      </c>
      <c r="C128" s="1" t="s">
        <v>331</v>
      </c>
      <c r="D128" s="17" t="n">
        <v>306</v>
      </c>
      <c r="E128" s="17" t="n">
        <v>572</v>
      </c>
      <c r="F128" s="17" t="n">
        <v>176</v>
      </c>
      <c r="G128" s="17" t="n">
        <v>375</v>
      </c>
      <c r="H128" s="1" t="s">
        <v>4</v>
      </c>
    </row>
    <row r="129" customFormat="false" ht="15" hidden="false" customHeight="true" outlineLevel="0" collapsed="false">
      <c r="A129" s="1" t="n">
        <v>5128</v>
      </c>
      <c r="B129" s="1" t="s">
        <v>290</v>
      </c>
      <c r="C129" s="1" t="s">
        <v>338</v>
      </c>
      <c r="D129" s="17" t="n">
        <v>869</v>
      </c>
      <c r="E129" s="17" t="n">
        <v>794</v>
      </c>
      <c r="F129" s="17" t="n">
        <v>557</v>
      </c>
      <c r="G129" s="17" t="n">
        <v>539</v>
      </c>
      <c r="H129" s="1" t="s">
        <v>4</v>
      </c>
    </row>
    <row r="130" customFormat="false" ht="15" hidden="false" customHeight="true" outlineLevel="0" collapsed="false">
      <c r="A130" s="1" t="n">
        <v>5129</v>
      </c>
      <c r="B130" s="1" t="s">
        <v>290</v>
      </c>
      <c r="C130" s="1" t="s">
        <v>331</v>
      </c>
      <c r="D130" s="17" t="n">
        <v>360</v>
      </c>
      <c r="E130" s="17" t="n">
        <v>199</v>
      </c>
      <c r="F130" s="17" t="n">
        <v>180</v>
      </c>
      <c r="G130" s="17" t="n">
        <v>116</v>
      </c>
      <c r="H130" s="1" t="s">
        <v>4</v>
      </c>
    </row>
    <row r="131" customFormat="false" ht="15" hidden="false" customHeight="true" outlineLevel="0" collapsed="false">
      <c r="A131" s="1" t="n">
        <v>5130</v>
      </c>
      <c r="B131" s="1" t="s">
        <v>355</v>
      </c>
      <c r="C131" s="1" t="s">
        <v>336</v>
      </c>
      <c r="D131" s="17" t="n">
        <v>304</v>
      </c>
      <c r="E131" s="17" t="n">
        <v>231</v>
      </c>
      <c r="F131" s="17" t="n">
        <v>194</v>
      </c>
      <c r="G131" s="17" t="n">
        <v>156</v>
      </c>
      <c r="H131" s="1" t="s">
        <v>4</v>
      </c>
    </row>
    <row r="132" customFormat="false" ht="15" hidden="false" customHeight="true" outlineLevel="0" collapsed="false">
      <c r="A132" s="1" t="n">
        <v>5131</v>
      </c>
      <c r="B132" s="1" t="s">
        <v>194</v>
      </c>
      <c r="C132" s="1" t="s">
        <v>336</v>
      </c>
      <c r="D132" s="17" t="n">
        <v>1706</v>
      </c>
      <c r="E132" s="17" t="n">
        <v>643</v>
      </c>
      <c r="F132" s="17" t="n">
        <v>920</v>
      </c>
      <c r="G132" s="17" t="n">
        <v>472</v>
      </c>
      <c r="H132" s="1" t="s">
        <v>4</v>
      </c>
    </row>
    <row r="133" customFormat="false" ht="15" hidden="false" customHeight="true" outlineLevel="0" collapsed="false">
      <c r="A133" s="1" t="n">
        <v>5132</v>
      </c>
      <c r="B133" s="1" t="s">
        <v>278</v>
      </c>
      <c r="C133" s="1" t="s">
        <v>336</v>
      </c>
      <c r="D133" s="17" t="n">
        <v>1451</v>
      </c>
      <c r="E133" s="17" t="n">
        <v>689</v>
      </c>
      <c r="F133" s="17" t="n">
        <v>746</v>
      </c>
      <c r="G133" s="17" t="n">
        <v>512</v>
      </c>
      <c r="H133" s="1" t="s">
        <v>4</v>
      </c>
    </row>
    <row r="134" customFormat="false" ht="15" hidden="false" customHeight="true" outlineLevel="0" collapsed="false">
      <c r="A134" s="1" t="n">
        <v>5133</v>
      </c>
      <c r="B134" s="1" t="s">
        <v>191</v>
      </c>
      <c r="C134" s="1" t="s">
        <v>331</v>
      </c>
      <c r="D134" s="17" t="n">
        <v>1050</v>
      </c>
      <c r="E134" s="17" t="n">
        <v>119</v>
      </c>
      <c r="F134" s="17" t="n">
        <v>570</v>
      </c>
      <c r="G134" s="17" t="n">
        <v>80</v>
      </c>
      <c r="H134" s="1" t="s">
        <v>4</v>
      </c>
    </row>
    <row r="135" customFormat="false" ht="15" hidden="false" customHeight="true" outlineLevel="0" collapsed="false">
      <c r="A135" s="1" t="n">
        <v>5134</v>
      </c>
      <c r="B135" s="1" t="s">
        <v>355</v>
      </c>
      <c r="C135" s="1" t="s">
        <v>338</v>
      </c>
      <c r="D135" s="17" t="n">
        <v>1361</v>
      </c>
      <c r="E135" s="17" t="n">
        <v>107</v>
      </c>
      <c r="F135" s="17" t="n">
        <v>708</v>
      </c>
      <c r="G135" s="17" t="n">
        <v>60</v>
      </c>
      <c r="H135" s="1" t="s">
        <v>4</v>
      </c>
    </row>
    <row r="136" customFormat="false" ht="15" hidden="false" customHeight="true" outlineLevel="0" collapsed="false">
      <c r="A136" s="1" t="n">
        <v>5135</v>
      </c>
      <c r="B136" s="1" t="s">
        <v>358</v>
      </c>
      <c r="C136" s="1" t="s">
        <v>338</v>
      </c>
      <c r="D136" s="17" t="n">
        <v>227</v>
      </c>
      <c r="E136" s="17" t="n">
        <v>108</v>
      </c>
      <c r="F136" s="17" t="n">
        <v>118</v>
      </c>
      <c r="G136" s="17" t="n">
        <v>65</v>
      </c>
      <c r="H136" s="1" t="s">
        <v>4</v>
      </c>
    </row>
    <row r="137" customFormat="false" ht="15" hidden="false" customHeight="true" outlineLevel="0" collapsed="false">
      <c r="A137" s="1" t="n">
        <v>5136</v>
      </c>
      <c r="B137" s="1" t="s">
        <v>200</v>
      </c>
      <c r="C137" s="1" t="s">
        <v>331</v>
      </c>
      <c r="D137" s="17" t="n">
        <v>1409</v>
      </c>
      <c r="E137" s="17" t="n">
        <v>658</v>
      </c>
      <c r="F137" s="17" t="n">
        <v>776</v>
      </c>
      <c r="G137" s="17" t="n">
        <v>422</v>
      </c>
      <c r="H137" s="1" t="s">
        <v>4</v>
      </c>
    </row>
    <row r="138" customFormat="false" ht="15" hidden="false" customHeight="true" outlineLevel="0" collapsed="false">
      <c r="A138" s="1" t="n">
        <v>5137</v>
      </c>
      <c r="B138" s="1" t="s">
        <v>295</v>
      </c>
      <c r="C138" s="1" t="s">
        <v>336</v>
      </c>
      <c r="D138" s="17" t="n">
        <v>234</v>
      </c>
      <c r="E138" s="17" t="n">
        <v>510</v>
      </c>
      <c r="F138" s="17" t="n">
        <v>147</v>
      </c>
      <c r="G138" s="17" t="n">
        <v>338</v>
      </c>
      <c r="H138" s="1" t="s">
        <v>4</v>
      </c>
    </row>
    <row r="139" customFormat="false" ht="15" hidden="false" customHeight="true" outlineLevel="0" collapsed="false">
      <c r="A139" s="1" t="n">
        <v>5138</v>
      </c>
      <c r="B139" s="1" t="s">
        <v>355</v>
      </c>
      <c r="C139" s="1" t="s">
        <v>338</v>
      </c>
      <c r="D139" s="17" t="n">
        <v>1389</v>
      </c>
      <c r="E139" s="17" t="n">
        <v>537</v>
      </c>
      <c r="F139" s="17" t="n">
        <v>764</v>
      </c>
      <c r="G139" s="17" t="n">
        <v>398</v>
      </c>
      <c r="H139" s="1" t="s">
        <v>4</v>
      </c>
    </row>
    <row r="140" customFormat="false" ht="15" hidden="false" customHeight="true" outlineLevel="0" collapsed="false">
      <c r="A140" s="1" t="n">
        <v>5139</v>
      </c>
      <c r="B140" s="1" t="s">
        <v>300</v>
      </c>
      <c r="C140" s="1" t="s">
        <v>331</v>
      </c>
      <c r="D140" s="17" t="n">
        <v>853</v>
      </c>
      <c r="E140" s="17" t="n">
        <v>781</v>
      </c>
      <c r="F140" s="17" t="n">
        <v>398</v>
      </c>
      <c r="G140" s="17" t="n">
        <v>530</v>
      </c>
      <c r="H140" s="1" t="s">
        <v>4</v>
      </c>
    </row>
    <row r="141" customFormat="false" ht="15" hidden="false" customHeight="true" outlineLevel="0" collapsed="false">
      <c r="A141" s="1" t="n">
        <v>5140</v>
      </c>
      <c r="B141" s="1" t="s">
        <v>354</v>
      </c>
      <c r="C141" s="1" t="s">
        <v>331</v>
      </c>
      <c r="D141" s="17" t="n">
        <v>1599</v>
      </c>
      <c r="E141" s="17" t="n">
        <v>498</v>
      </c>
      <c r="F141" s="17" t="n">
        <v>1036</v>
      </c>
      <c r="G141" s="17" t="n">
        <v>326</v>
      </c>
      <c r="H141" s="1" t="s">
        <v>4</v>
      </c>
    </row>
    <row r="142" customFormat="false" ht="15" hidden="false" customHeight="true" outlineLevel="0" collapsed="false">
      <c r="A142" s="1" t="n">
        <v>5141</v>
      </c>
      <c r="B142" s="1" t="s">
        <v>357</v>
      </c>
      <c r="C142" s="1" t="s">
        <v>331</v>
      </c>
      <c r="D142" s="17" t="n">
        <v>895</v>
      </c>
      <c r="E142" s="17" t="n">
        <v>431</v>
      </c>
      <c r="F142" s="17" t="n">
        <v>567</v>
      </c>
      <c r="G142" s="17" t="n">
        <v>270</v>
      </c>
      <c r="H142" s="1" t="s">
        <v>4</v>
      </c>
    </row>
    <row r="143" customFormat="false" ht="15" hidden="false" customHeight="true" outlineLevel="0" collapsed="false">
      <c r="A143" s="1" t="n">
        <v>5142</v>
      </c>
      <c r="B143" s="1" t="s">
        <v>278</v>
      </c>
      <c r="C143" s="1" t="s">
        <v>338</v>
      </c>
      <c r="D143" s="17" t="n">
        <v>1540</v>
      </c>
      <c r="E143" s="17" t="n">
        <v>662</v>
      </c>
      <c r="F143" s="17" t="n">
        <v>709</v>
      </c>
      <c r="G143" s="17" t="n">
        <v>447</v>
      </c>
      <c r="H143" s="1" t="s">
        <v>4</v>
      </c>
    </row>
    <row r="144" customFormat="false" ht="15" hidden="false" customHeight="true" outlineLevel="0" collapsed="false">
      <c r="A144" s="1" t="n">
        <v>5143</v>
      </c>
      <c r="B144" s="1" t="s">
        <v>275</v>
      </c>
      <c r="C144" s="1" t="s">
        <v>331</v>
      </c>
      <c r="D144" s="17" t="n">
        <v>825</v>
      </c>
      <c r="E144" s="17" t="n">
        <v>146</v>
      </c>
      <c r="F144" s="17" t="n">
        <v>463</v>
      </c>
      <c r="G144" s="17" t="n">
        <v>91</v>
      </c>
      <c r="H144" s="1" t="s">
        <v>4</v>
      </c>
    </row>
    <row r="145" customFormat="false" ht="15" hidden="false" customHeight="true" outlineLevel="0" collapsed="false">
      <c r="A145" s="1" t="n">
        <v>5144</v>
      </c>
      <c r="B145" s="1" t="s">
        <v>194</v>
      </c>
      <c r="C145" s="1" t="s">
        <v>336</v>
      </c>
      <c r="D145" s="17" t="n">
        <v>1494</v>
      </c>
      <c r="E145" s="17" t="n">
        <v>667</v>
      </c>
      <c r="F145" s="17" t="n">
        <v>933</v>
      </c>
      <c r="G145" s="17" t="n">
        <v>411</v>
      </c>
      <c r="H145" s="1" t="s">
        <v>4</v>
      </c>
    </row>
    <row r="146" customFormat="false" ht="15" hidden="false" customHeight="true" outlineLevel="0" collapsed="false">
      <c r="A146" s="1" t="n">
        <v>5145</v>
      </c>
      <c r="B146" s="1" t="s">
        <v>174</v>
      </c>
      <c r="C146" s="1" t="s">
        <v>336</v>
      </c>
      <c r="D146" s="17" t="n">
        <v>439</v>
      </c>
      <c r="E146" s="17" t="n">
        <v>408</v>
      </c>
      <c r="F146" s="17" t="n">
        <v>224</v>
      </c>
      <c r="G146" s="17" t="n">
        <v>277</v>
      </c>
      <c r="H146" s="1" t="s">
        <v>4</v>
      </c>
    </row>
    <row r="147" customFormat="false" ht="15" hidden="false" customHeight="true" outlineLevel="0" collapsed="false">
      <c r="A147" s="1" t="n">
        <v>5146</v>
      </c>
      <c r="B147" s="1" t="s">
        <v>200</v>
      </c>
      <c r="C147" s="1" t="s">
        <v>338</v>
      </c>
      <c r="D147" s="17" t="n">
        <v>414</v>
      </c>
      <c r="E147" s="17" t="n">
        <v>659</v>
      </c>
      <c r="F147" s="17" t="n">
        <v>244</v>
      </c>
      <c r="G147" s="17" t="n">
        <v>373</v>
      </c>
      <c r="H147" s="1" t="s">
        <v>4</v>
      </c>
    </row>
    <row r="148" customFormat="false" ht="15" hidden="false" customHeight="true" outlineLevel="0" collapsed="false">
      <c r="A148" s="1" t="n">
        <v>5147</v>
      </c>
      <c r="B148" s="1" t="s">
        <v>285</v>
      </c>
      <c r="C148" s="1" t="s">
        <v>338</v>
      </c>
      <c r="D148" s="17" t="n">
        <v>1467</v>
      </c>
      <c r="E148" s="17" t="n">
        <v>860</v>
      </c>
      <c r="F148" s="17" t="n">
        <v>756</v>
      </c>
      <c r="G148" s="17" t="n">
        <v>494</v>
      </c>
      <c r="H148" s="1" t="s">
        <v>4</v>
      </c>
    </row>
    <row r="149" customFormat="false" ht="15" hidden="false" customHeight="true" outlineLevel="0" collapsed="false">
      <c r="A149" s="1" t="n">
        <v>5148</v>
      </c>
      <c r="B149" s="1" t="s">
        <v>171</v>
      </c>
      <c r="C149" s="1" t="s">
        <v>336</v>
      </c>
      <c r="D149" s="17" t="n">
        <v>1553</v>
      </c>
      <c r="E149" s="17" t="n">
        <v>589</v>
      </c>
      <c r="F149" s="17" t="n">
        <v>727</v>
      </c>
      <c r="G149" s="17" t="n">
        <v>402</v>
      </c>
      <c r="H149" s="1" t="s">
        <v>4</v>
      </c>
    </row>
    <row r="150" customFormat="false" ht="15" hidden="false" customHeight="true" outlineLevel="0" collapsed="false">
      <c r="A150" s="1" t="n">
        <v>5149</v>
      </c>
      <c r="B150" s="1" t="s">
        <v>278</v>
      </c>
      <c r="C150" s="1" t="s">
        <v>338</v>
      </c>
      <c r="D150" s="17" t="n">
        <v>187</v>
      </c>
      <c r="E150" s="17" t="n">
        <v>421</v>
      </c>
      <c r="F150" s="17" t="n">
        <v>95</v>
      </c>
      <c r="G150" s="17" t="n">
        <v>311</v>
      </c>
      <c r="H150" s="1" t="s">
        <v>4</v>
      </c>
    </row>
    <row r="151" customFormat="false" ht="15" hidden="false" customHeight="true" outlineLevel="0" collapsed="false">
      <c r="A151" s="1" t="n">
        <v>5150</v>
      </c>
      <c r="B151" s="1" t="s">
        <v>356</v>
      </c>
      <c r="C151" s="1" t="s">
        <v>338</v>
      </c>
      <c r="D151" s="17" t="n">
        <v>543</v>
      </c>
      <c r="E151" s="17" t="n">
        <v>281</v>
      </c>
      <c r="F151" s="17" t="n">
        <v>352</v>
      </c>
      <c r="G151" s="17" t="n">
        <v>163</v>
      </c>
      <c r="H151" s="1" t="s">
        <v>4</v>
      </c>
    </row>
    <row r="152" customFormat="false" ht="15" hidden="false" customHeight="true" outlineLevel="0" collapsed="false">
      <c r="A152" s="1" t="n">
        <v>5151</v>
      </c>
      <c r="B152" s="1" t="s">
        <v>171</v>
      </c>
      <c r="C152" s="1" t="s">
        <v>331</v>
      </c>
      <c r="D152" s="17" t="n">
        <v>1189</v>
      </c>
      <c r="E152" s="17" t="n">
        <v>839</v>
      </c>
      <c r="F152" s="17" t="n">
        <v>663</v>
      </c>
      <c r="G152" s="17" t="n">
        <v>585</v>
      </c>
      <c r="H152" s="1" t="s">
        <v>4</v>
      </c>
    </row>
    <row r="153" customFormat="false" ht="15" hidden="false" customHeight="true" outlineLevel="0" collapsed="false">
      <c r="A153" s="1" t="n">
        <v>5152</v>
      </c>
      <c r="B153" s="1" t="s">
        <v>354</v>
      </c>
      <c r="C153" s="1" t="s">
        <v>331</v>
      </c>
      <c r="D153" s="17" t="n">
        <v>1505</v>
      </c>
      <c r="E153" s="17" t="n">
        <v>394</v>
      </c>
      <c r="F153" s="17" t="n">
        <v>941</v>
      </c>
      <c r="G153" s="17" t="n">
        <v>265</v>
      </c>
      <c r="H153" s="1" t="s">
        <v>4</v>
      </c>
    </row>
    <row r="154" customFormat="false" ht="15" hidden="false" customHeight="true" outlineLevel="0" collapsed="false">
      <c r="A154" s="1" t="n">
        <v>5153</v>
      </c>
      <c r="B154" s="1" t="s">
        <v>354</v>
      </c>
      <c r="C154" s="1" t="s">
        <v>338</v>
      </c>
      <c r="D154" s="17" t="n">
        <v>465</v>
      </c>
      <c r="E154" s="17" t="n">
        <v>216</v>
      </c>
      <c r="F154" s="17" t="n">
        <v>226</v>
      </c>
      <c r="G154" s="17" t="n">
        <v>148</v>
      </c>
      <c r="H154" s="1" t="s">
        <v>4</v>
      </c>
    </row>
    <row r="155" customFormat="false" ht="15" hidden="false" customHeight="true" outlineLevel="0" collapsed="false">
      <c r="A155" s="1" t="n">
        <v>5154</v>
      </c>
      <c r="B155" s="1" t="s">
        <v>180</v>
      </c>
      <c r="C155" s="1" t="s">
        <v>331</v>
      </c>
      <c r="D155" s="17" t="n">
        <v>1626</v>
      </c>
      <c r="E155" s="17" t="n">
        <v>498</v>
      </c>
      <c r="F155" s="17" t="n">
        <v>745</v>
      </c>
      <c r="G155" s="17" t="n">
        <v>310</v>
      </c>
      <c r="H155" s="1" t="s">
        <v>4</v>
      </c>
    </row>
    <row r="156" customFormat="false" ht="15" hidden="false" customHeight="true" outlineLevel="0" collapsed="false">
      <c r="A156" s="1" t="n">
        <v>5155</v>
      </c>
      <c r="B156" s="1" t="s">
        <v>355</v>
      </c>
      <c r="C156" s="1" t="s">
        <v>331</v>
      </c>
      <c r="D156" s="17" t="n">
        <v>1059</v>
      </c>
      <c r="E156" s="17" t="n">
        <v>675</v>
      </c>
      <c r="F156" s="17" t="n">
        <v>536</v>
      </c>
      <c r="G156" s="17" t="n">
        <v>472</v>
      </c>
      <c r="H156" s="1" t="s">
        <v>4</v>
      </c>
    </row>
    <row r="157" customFormat="false" ht="15" hidden="false" customHeight="true" outlineLevel="0" collapsed="false">
      <c r="A157" s="1" t="n">
        <v>5156</v>
      </c>
      <c r="B157" s="1" t="s">
        <v>359</v>
      </c>
      <c r="C157" s="1" t="s">
        <v>331</v>
      </c>
      <c r="D157" s="17" t="n">
        <v>1243</v>
      </c>
      <c r="E157" s="17" t="n">
        <v>294</v>
      </c>
      <c r="F157" s="17" t="n">
        <v>636</v>
      </c>
      <c r="G157" s="17" t="n">
        <v>209</v>
      </c>
      <c r="H157" s="1" t="s">
        <v>4</v>
      </c>
    </row>
    <row r="158" customFormat="false" ht="15" hidden="false" customHeight="true" outlineLevel="0" collapsed="false">
      <c r="A158" s="1" t="n">
        <v>5157</v>
      </c>
      <c r="B158" s="1" t="s">
        <v>355</v>
      </c>
      <c r="C158" s="1" t="s">
        <v>331</v>
      </c>
      <c r="D158" s="17" t="n">
        <v>903</v>
      </c>
      <c r="E158" s="17" t="n">
        <v>744</v>
      </c>
      <c r="F158" s="17" t="n">
        <v>577</v>
      </c>
      <c r="G158" s="17" t="n">
        <v>555</v>
      </c>
      <c r="H158" s="1" t="s">
        <v>4</v>
      </c>
    </row>
    <row r="159" customFormat="false" ht="15" hidden="false" customHeight="true" outlineLevel="0" collapsed="false">
      <c r="A159" s="1" t="n">
        <v>5158</v>
      </c>
      <c r="B159" s="1" t="s">
        <v>353</v>
      </c>
      <c r="C159" s="1" t="s">
        <v>338</v>
      </c>
      <c r="D159" s="17" t="n">
        <v>1743</v>
      </c>
      <c r="E159" s="17" t="n">
        <v>441</v>
      </c>
      <c r="F159" s="17" t="n">
        <v>959</v>
      </c>
      <c r="G159" s="17" t="n">
        <v>279</v>
      </c>
      <c r="H159" s="1" t="s">
        <v>4</v>
      </c>
    </row>
    <row r="160" customFormat="false" ht="15" hidden="false" customHeight="true" outlineLevel="0" collapsed="false">
      <c r="A160" s="1" t="n">
        <v>5159</v>
      </c>
      <c r="B160" s="1" t="s">
        <v>358</v>
      </c>
      <c r="C160" s="1" t="s">
        <v>331</v>
      </c>
      <c r="D160" s="17" t="n">
        <v>1790</v>
      </c>
      <c r="E160" s="17" t="n">
        <v>669</v>
      </c>
      <c r="F160" s="17" t="n">
        <v>855</v>
      </c>
      <c r="G160" s="17" t="n">
        <v>401</v>
      </c>
      <c r="H160" s="1" t="s">
        <v>4</v>
      </c>
    </row>
    <row r="161" customFormat="false" ht="15" hidden="false" customHeight="true" outlineLevel="0" collapsed="false">
      <c r="A161" s="1" t="n">
        <v>5160</v>
      </c>
      <c r="B161" s="1" t="s">
        <v>171</v>
      </c>
      <c r="C161" s="1" t="s">
        <v>338</v>
      </c>
      <c r="D161" s="17" t="n">
        <v>910</v>
      </c>
      <c r="E161" s="17" t="n">
        <v>617</v>
      </c>
      <c r="F161" s="17" t="n">
        <v>579</v>
      </c>
      <c r="G161" s="17" t="n">
        <v>427</v>
      </c>
      <c r="H161" s="1" t="s">
        <v>4</v>
      </c>
    </row>
    <row r="162" customFormat="false" ht="15" hidden="false" customHeight="true" outlineLevel="0" collapsed="false">
      <c r="A162" s="1" t="n">
        <v>5161</v>
      </c>
      <c r="B162" s="1" t="s">
        <v>171</v>
      </c>
      <c r="C162" s="1" t="s">
        <v>331</v>
      </c>
      <c r="D162" s="17" t="n">
        <v>733</v>
      </c>
      <c r="E162" s="17" t="n">
        <v>135</v>
      </c>
      <c r="F162" s="17" t="n">
        <v>441</v>
      </c>
      <c r="G162" s="17" t="n">
        <v>81</v>
      </c>
      <c r="H162" s="1" t="s">
        <v>4</v>
      </c>
    </row>
    <row r="163" customFormat="false" ht="15" hidden="false" customHeight="true" outlineLevel="0" collapsed="false">
      <c r="A163" s="1" t="n">
        <v>5162</v>
      </c>
      <c r="B163" s="1" t="s">
        <v>355</v>
      </c>
      <c r="C163" s="1" t="s">
        <v>331</v>
      </c>
      <c r="D163" s="17" t="n">
        <v>1045</v>
      </c>
      <c r="E163" s="17" t="n">
        <v>143</v>
      </c>
      <c r="F163" s="17" t="n">
        <v>668</v>
      </c>
      <c r="G163" s="17" t="n">
        <v>85</v>
      </c>
      <c r="H163" s="1" t="s">
        <v>4</v>
      </c>
    </row>
    <row r="164" customFormat="false" ht="15" hidden="false" customHeight="true" outlineLevel="0" collapsed="false">
      <c r="A164" s="1" t="n">
        <v>5163</v>
      </c>
      <c r="B164" s="1" t="s">
        <v>360</v>
      </c>
      <c r="C164" s="1" t="s">
        <v>338</v>
      </c>
      <c r="D164" s="17" t="n">
        <v>204</v>
      </c>
      <c r="E164" s="17" t="n">
        <v>474</v>
      </c>
      <c r="F164" s="17" t="n">
        <v>93</v>
      </c>
      <c r="G164" s="17" t="n">
        <v>308</v>
      </c>
      <c r="H164" s="1" t="s">
        <v>4</v>
      </c>
    </row>
    <row r="165" customFormat="false" ht="15" hidden="false" customHeight="true" outlineLevel="0" collapsed="false">
      <c r="A165" s="1" t="n">
        <v>5164</v>
      </c>
      <c r="B165" s="1" t="s">
        <v>177</v>
      </c>
      <c r="C165" s="1" t="s">
        <v>338</v>
      </c>
      <c r="D165" s="17" t="n">
        <v>317</v>
      </c>
      <c r="E165" s="17" t="n">
        <v>433</v>
      </c>
      <c r="F165" s="17" t="n">
        <v>156</v>
      </c>
      <c r="G165" s="17" t="n">
        <v>265</v>
      </c>
      <c r="H165" s="1" t="s">
        <v>4</v>
      </c>
    </row>
    <row r="166" customFormat="false" ht="15" hidden="false" customHeight="true" outlineLevel="0" collapsed="false">
      <c r="A166" s="1" t="n">
        <v>5165</v>
      </c>
      <c r="B166" s="1" t="s">
        <v>356</v>
      </c>
      <c r="C166" s="1" t="s">
        <v>336</v>
      </c>
      <c r="D166" s="17" t="n">
        <v>1481</v>
      </c>
      <c r="E166" s="17" t="n">
        <v>393</v>
      </c>
      <c r="F166" s="17" t="n">
        <v>900</v>
      </c>
      <c r="G166" s="17" t="n">
        <v>226</v>
      </c>
      <c r="H166" s="1" t="s">
        <v>4</v>
      </c>
    </row>
    <row r="168" customFormat="false" ht="15" hidden="false" customHeight="true" outlineLevel="0" collapsed="false">
      <c r="A168" s="9" t="s">
        <v>361</v>
      </c>
    </row>
    <row r="169" customFormat="false" ht="15" hidden="false" customHeight="true" outlineLevel="0" collapsed="false">
      <c r="A169" s="3" t="s">
        <v>362</v>
      </c>
      <c r="B169" s="8" t="n">
        <f aca="false">SUMIFS(D2:D166,H2:H166,"Mar")</f>
        <v>51166</v>
      </c>
    </row>
    <row r="170" customFormat="false" ht="15" hidden="false" customHeight="true" outlineLevel="0" collapsed="false">
      <c r="A170" s="3" t="s">
        <v>363</v>
      </c>
      <c r="B170" s="8" t="n">
        <f aca="false">SUMIFS(E2:E166,H2:H166,"Mar")</f>
        <v>25066</v>
      </c>
    </row>
    <row r="171" customFormat="false" ht="15" hidden="false" customHeight="true" outlineLevel="0" collapsed="false">
      <c r="A171" s="3" t="s">
        <v>364</v>
      </c>
      <c r="B171" s="8" t="n">
        <f aca="false">SUMIFS(F2:F166,H2:H166,"Mar")</f>
        <v>28096</v>
      </c>
    </row>
    <row r="172" customFormat="false" ht="15" hidden="false" customHeight="true" outlineLevel="0" collapsed="false">
      <c r="A172" s="3" t="s">
        <v>365</v>
      </c>
      <c r="B172" s="8" t="n">
        <f aca="false">SUMIFS(G2:G166,H2:H166,"Mar")</f>
        <v>16494</v>
      </c>
    </row>
    <row r="173" customFormat="false" ht="15" hidden="false" customHeight="true" outlineLevel="0" collapsed="false">
      <c r="A173" s="3" t="s">
        <v>366</v>
      </c>
      <c r="B173" s="8" t="n">
        <f aca="false">B169-B171</f>
        <v>23070</v>
      </c>
    </row>
    <row r="174" customFormat="false" ht="15" hidden="false" customHeight="true" outlineLevel="0" collapsed="false">
      <c r="A174" s="3" t="s">
        <v>367</v>
      </c>
      <c r="B174" s="8" t="n">
        <f aca="false">B170-B172</f>
        <v>8572</v>
      </c>
    </row>
    <row r="175" customFormat="false" ht="15" hidden="false" customHeight="true" outlineLevel="0" collapsed="false">
      <c r="A175" s="3" t="s">
        <v>368</v>
      </c>
      <c r="B175" s="8" t="n">
        <f aca="false">B173+B174</f>
        <v>31642</v>
      </c>
    </row>
    <row r="176" customFormat="false" ht="15" hidden="false" customHeight="true" outlineLevel="0" collapsed="false">
      <c r="A176" s="3" t="s">
        <v>369</v>
      </c>
      <c r="B176" s="21" t="n">
        <f aca="false">(B173+B174)/Assumptions!$B$10</f>
        <v>0.09888125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2026-04-11T17:23:42Z</dcterms:created>
  <dc:creator>openpyxl</dc:creator>
  <dc:description/>
  <dc:language>en-US</dc:language>
  <cp:lastModifiedBy/>
  <dcterms:modified xsi:type="dcterms:W3CDTF">2026-04-11T17:24:14Z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