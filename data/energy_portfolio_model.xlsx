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Generation" sheetId="3" state="visible" r:id="rId3"/>
    <sheet xmlns:r="http://schemas.openxmlformats.org/officeDocument/2006/relationships" name="System Losses" sheetId="4" state="visible" r:id="rId4"/>
    <sheet xmlns:r="http://schemas.openxmlformats.org/officeDocument/2006/relationships" name="Weather" sheetId="5" state="visible" r:id="rId5"/>
    <sheet xmlns:r="http://schemas.openxmlformats.org/officeDocument/2006/relationships" name="Price Curves" sheetId="6" state="visible" r:id="rId6"/>
    <sheet xmlns:r="http://schemas.openxmlformats.org/officeDocument/2006/relationships" name="O&amp;M Costs" sheetId="7" state="visible" r:id="rId7"/>
  </sheets>
  <definedNames>
    <definedName name="AnnualDegradationRate">Assumptions!$B$2</definedName>
    <definedName name="DiscountRate">Assumptions!$B$3</definedName>
    <definedName name="ITCRate">Assumptions!$B$4</definedName>
    <definedName name="OM_EscalationRate">Assumptions!$B$5</definedName>
    <definedName name="LandLeaseEscalation">Assumptions!$B$6</definedName>
    <definedName name="InsuranceEscalation">Assumptions!$B$7</definedName>
    <definedName name="TaxEquitySplit">Assumptions!$B$8</definedName>
    <definedName name="TaxEquityFlipDate">Assumptions!$B$10</definedName>
    <definedName name="DefaultPriceCurveSheet">Assumptions!$B$11</definedName>
    <definedName name="Alpha_DegradationOverride">Assumptions!$B$15</definedName>
    <definedName name="Gamma_EscalationCap">Assumptions!$B$16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Capacity (MW)</t>
        </is>
      </c>
      <c r="C1" s="1" t="inlineStr">
        <is>
          <t>Expected Yield (MWh)</t>
        </is>
      </c>
      <c r="D1" s="1" t="inlineStr">
        <is>
          <t>Contract Type</t>
        </is>
      </c>
      <c r="E1" s="1" t="inlineStr">
        <is>
          <t>Contract Rate</t>
        </is>
      </c>
      <c r="F1" s="1" t="inlineStr">
        <is>
          <t>Expected Revenue</t>
        </is>
      </c>
      <c r="G1" s="1" t="inlineStr">
        <is>
          <t>System Loss</t>
        </is>
      </c>
      <c r="H1" s="1" t="inlineStr">
        <is>
          <t>Performance Ratio</t>
        </is>
      </c>
      <c r="I1" s="1" t="inlineStr">
        <is>
          <t>Net Operating Income</t>
        </is>
      </c>
    </row>
    <row r="2">
      <c r="A2" t="inlineStr">
        <is>
          <t>Alpha</t>
        </is>
      </c>
      <c r="B2" t="n">
        <v>13.2</v>
      </c>
      <c r="C2" t="n">
        <v>22560</v>
      </c>
      <c r="D2" t="inlineStr">
        <is>
          <t>PPA</t>
        </is>
      </c>
      <c r="E2" t="n">
        <v>68.98999999999999</v>
      </c>
      <c r="F2">
        <f>IF(D2="PPA",C2*E2,IF(D2="Merchant",C2*VLOOKUP("Jan",'Price Curves'!A:B,2,FALSE),C2*MAX(VLOOKUP("Jan",'Price Curves'!A:B,2,FALSE),VLOOKUP("Jan",'Price Curves'!A:C,3,FALSE))))</f>
        <v/>
      </c>
      <c r="G2">
        <f>VLOOKUP(A2,'System Losses'!A:H,8,FALSE)</f>
        <v/>
      </c>
      <c r="H2">
        <f>(1-G2)*VLOOKUP(A2,Weather!A:Z,26,FALSE)</f>
        <v/>
      </c>
      <c r="I2">
        <f>F2-VLOOKUP(A2,'O&amp;M Costs'!A:G,7,FALSE)</f>
        <v/>
      </c>
    </row>
    <row r="3">
      <c r="A3" t="inlineStr">
        <is>
          <t>Beta</t>
        </is>
      </c>
      <c r="B3" t="n">
        <v>28.3</v>
      </c>
      <c r="C3" t="n">
        <v>50708</v>
      </c>
      <c r="D3" t="inlineStr">
        <is>
          <t>Merchant</t>
        </is>
      </c>
      <c r="E3" t="n">
        <v>59.31</v>
      </c>
      <c r="F3">
        <f>IF(D3="PPA",C3*E3,IF(D3="Merchant",C3*VLOOKUP("Jan",'Price Curves'!A:B,2,FALSE),C3*MAX(VLOOKUP("Jan",'Price Curves'!A:B,2,FALSE),VLOOKUP("Jan",'Price Curves'!A:C,3,FALSE))))</f>
        <v/>
      </c>
      <c r="G3">
        <f>VLOOKUP(A3,'System Losses'!A:H,8,FALSE)</f>
        <v/>
      </c>
      <c r="H3">
        <f>(1-G3)*VLOOKUP(A3,Weather!A:Z,26,FALSE)</f>
        <v/>
      </c>
      <c r="I3">
        <f>F3-VLOOKUP(A3,'O&amp;M Costs'!A:G,7,FALSE)</f>
        <v/>
      </c>
    </row>
    <row r="4">
      <c r="A4" t="inlineStr">
        <is>
          <t>Gamma</t>
        </is>
      </c>
      <c r="B4" t="n">
        <v>16.1</v>
      </c>
      <c r="C4" t="n">
        <v>31595</v>
      </c>
      <c r="D4" t="inlineStr">
        <is>
          <t>Hybrid</t>
        </is>
      </c>
      <c r="E4" t="n">
        <v>86.41</v>
      </c>
      <c r="F4">
        <f>IF(D4="PPA",C4*E4,IF(D4="Merchant",C4*VLOOKUP("Jan",'Price Curves'!A:B,2,FALSE),C4*MAX(VLOOKUP("Jan",'Price Curves'!A:B,2,FALSE),VLOOKUP("Jan",'Price Curves'!A:C,3,FALSE))))</f>
        <v/>
      </c>
      <c r="G4">
        <f>VLOOKUP(A4,'System Losses'!A:H,8,FALSE)</f>
        <v/>
      </c>
      <c r="H4">
        <f>(1-G4)*VLOOKUP(A4,Weather!A:Z,26,FALSE)</f>
        <v/>
      </c>
      <c r="I4">
        <f>F4-VLOOKUP(A4,'O&amp;M Costs'!A:G,7,FALSE)</f>
        <v/>
      </c>
    </row>
    <row r="5">
      <c r="A5" t="inlineStr">
        <is>
          <t>Delta</t>
        </is>
      </c>
      <c r="B5" t="n">
        <v>6.8</v>
      </c>
      <c r="C5" t="n">
        <v>12792</v>
      </c>
      <c r="D5" t="inlineStr">
        <is>
          <t>PPA</t>
        </is>
      </c>
      <c r="E5" t="n">
        <v>81.51000000000001</v>
      </c>
      <c r="F5">
        <f>IF(D5="PPA",C5*E5,IF(D5="Merchant",C5*VLOOKUP("Jan",'Price Curves'!A:B,2,FALSE),C5*MAX(VLOOKUP("Jan",'Price Curves'!A:B,2,FALSE),VLOOKUP("Jan",'Price Curves'!A:C,3,FALSE))))</f>
        <v/>
      </c>
      <c r="G5">
        <f>VLOOKUP(A5,'System Losses'!A:H,8,FALSE)</f>
        <v/>
      </c>
      <c r="H5">
        <f>(1-G5)*VLOOKUP(A5,Weather!A:Z,26,FALSE)</f>
        <v/>
      </c>
      <c r="I5">
        <f>F5-VLOOKUP(A5,'O&amp;M Costs'!A:G,7,FALSE)</f>
        <v/>
      </c>
    </row>
    <row r="6">
      <c r="A6" t="inlineStr">
        <is>
          <t>Epsilon</t>
        </is>
      </c>
      <c r="B6" t="n">
        <v>6.7</v>
      </c>
      <c r="C6" t="n">
        <v>13528</v>
      </c>
      <c r="D6" t="inlineStr">
        <is>
          <t>PPA</t>
        </is>
      </c>
      <c r="E6" t="n">
        <v>59.12</v>
      </c>
      <c r="F6">
        <f>IF(D6="PPA",C6*E6,IF(D6="Merchant",C6*VLOOKUP("Jan",'Price Curves'!A:B,2,FALSE),C6*MAX(VLOOKUP("Jan",'Price Curves'!A:B,2,FALSE),VLOOKUP("Jan",'Price Curves'!A:C,3,FALSE))))</f>
        <v/>
      </c>
      <c r="G6">
        <f>VLOOKUP(A6,'System Losses'!A:H,8,FALSE)</f>
        <v/>
      </c>
      <c r="H6">
        <f>(1-G6)*VLOOKUP(A6,Weather!A:Z,26,FALSE)</f>
        <v/>
      </c>
      <c r="I6">
        <f>F6-VLOOKUP(A6,'O&amp;M Costs'!A:G,7,FALSE)</f>
        <v/>
      </c>
    </row>
    <row r="7">
      <c r="A7" t="inlineStr">
        <is>
          <t>Zeta</t>
        </is>
      </c>
      <c r="B7" t="n">
        <v>32</v>
      </c>
      <c r="C7" t="n">
        <v>60001</v>
      </c>
      <c r="D7" t="inlineStr">
        <is>
          <t>Merchant</t>
        </is>
      </c>
      <c r="E7" t="n">
        <v>76.95</v>
      </c>
      <c r="F7">
        <f>IF(D7="PPA",C7*E7,IF(D7="Merchant",C7*VLOOKUP("Jan",'Price Curves'!A:B,2,FALSE),C7*MAX(VLOOKUP("Jan",'Price Curves'!A:B,2,FALSE),VLOOKUP("Jan",'Price Curves'!A:C,3,FALSE))))</f>
        <v/>
      </c>
      <c r="G7">
        <f>VLOOKUP(A7,'System Losses'!A:H,8,FALSE)</f>
        <v/>
      </c>
      <c r="H7">
        <f>(1-G7)*VLOOKUP(A7,Weather!A:Z,26,FALSE)</f>
        <v/>
      </c>
      <c r="I7">
        <f>F7-VLOOKUP(A7,'O&amp;M Costs'!A:G,7,FALSE)</f>
        <v/>
      </c>
    </row>
    <row r="8">
      <c r="A8" t="inlineStr">
        <is>
          <t>Eta</t>
        </is>
      </c>
      <c r="B8" t="n">
        <v>18.8</v>
      </c>
      <c r="C8" t="n">
        <v>34029</v>
      </c>
      <c r="D8" t="inlineStr">
        <is>
          <t>Hybrid</t>
        </is>
      </c>
      <c r="E8" t="n">
        <v>75.39</v>
      </c>
      <c r="F8">
        <f>IF(D8="PPA",C8*E8,IF(D8="Merchant",C8*VLOOKUP("Jan",'Price Curves'!A:B,2,FALSE),C8*MAX(VLOOKUP("Jan",'Price Curves'!A:B,2,FALSE),VLOOKUP("Jan",'Price Curves'!A:C,3,FALSE))))</f>
        <v/>
      </c>
      <c r="G8">
        <f>VLOOKUP(A8,'System Losses'!A:H,8,FALSE)</f>
        <v/>
      </c>
      <c r="H8">
        <f>(1-G8)*VLOOKUP(A8,Weather!A:Z,26,FALSE)</f>
        <v/>
      </c>
      <c r="I8">
        <f>F8-VLOOKUP(A8,'O&amp;M Costs'!A:G,7,FALSE)</f>
        <v/>
      </c>
    </row>
    <row r="9">
      <c r="A9" t="inlineStr">
        <is>
          <t>Theta</t>
        </is>
      </c>
      <c r="B9" t="n">
        <v>24.2</v>
      </c>
      <c r="C9" t="n">
        <v>46692</v>
      </c>
      <c r="D9" t="inlineStr">
        <is>
          <t>PPA</t>
        </is>
      </c>
      <c r="E9" t="n">
        <v>70.64</v>
      </c>
      <c r="F9">
        <f>IF(D9="PPA",C9*E9,IF(D9="Merchant",C9*VLOOKUP("Jan",'Price Curves'!A:B,2,FALSE),C9*MAX(VLOOKUP("Jan",'Price Curves'!A:B,2,FALSE),VLOOKUP("Jan",'Price Curves'!A:C,3,FALSE))))</f>
        <v/>
      </c>
      <c r="G9">
        <f>VLOOKUP(A9,'System Losses'!A:H,8,FALSE)</f>
        <v/>
      </c>
      <c r="H9">
        <f>(1-G9)*VLOOKUP(A9,Weather!A:Z,26,FALSE)</f>
        <v/>
      </c>
      <c r="I9">
        <f>F9-VLOOKUP(A9,'O&amp;M Costs'!A:G,7,FALSE)</f>
        <v/>
      </c>
    </row>
    <row r="10">
      <c r="A10" t="inlineStr">
        <is>
          <t>Iota</t>
        </is>
      </c>
      <c r="B10" t="n">
        <v>24.7</v>
      </c>
      <c r="C10" t="n">
        <v>39809</v>
      </c>
      <c r="D10" t="inlineStr">
        <is>
          <t>Merchant</t>
        </is>
      </c>
      <c r="E10" t="n">
        <v>76.66</v>
      </c>
      <c r="F10">
        <f>IF(D10="PPA",C10*E10,IF(D10="Merchant",C10*VLOOKUP("Jan",'Price Curves'!A:B,2,FALSE),C10*MAX(VLOOKUP("Jan",'Price Curves'!A:B,2,FALSE),VLOOKUP("Jan",'Price Curves'!A:C,3,FALSE))))</f>
        <v/>
      </c>
      <c r="G10">
        <f>VLOOKUP(A10,'System Losses'!A:H,8,FALSE)</f>
        <v/>
      </c>
      <c r="H10">
        <f>(1-G10)*VLOOKUP(A10,Weather!A:Z,26,FALSE)</f>
        <v/>
      </c>
      <c r="I10">
        <f>F10-VLOOKUP(A10,'O&amp;M Costs'!A:G,7,FALSE)</f>
        <v/>
      </c>
    </row>
    <row r="11">
      <c r="A11" t="inlineStr">
        <is>
          <t>Kappa</t>
        </is>
      </c>
      <c r="B11" t="n">
        <v>27</v>
      </c>
      <c r="C11" t="n">
        <v>46376</v>
      </c>
      <c r="D11" t="inlineStr">
        <is>
          <t>PPA</t>
        </is>
      </c>
      <c r="E11" t="n">
        <v>81.72</v>
      </c>
      <c r="F11">
        <f>IF(D11="PPA",C11*E11,IF(D11="Merchant",C11*VLOOKUP("Jan",'Price Curves'!A:B,2,FALSE),C11*MAX(VLOOKUP("Jan",'Price Curves'!A:B,2,FALSE),VLOOKUP("Jan",'Price Curves'!A:C,3,FALSE))))</f>
        <v/>
      </c>
      <c r="G11">
        <f>VLOOKUP(A11,'System Losses'!A:H,8,FALSE)</f>
        <v/>
      </c>
      <c r="H11">
        <f>(1-G11)*VLOOKUP(A11,Weather!A:Z,26,FALSE)</f>
        <v/>
      </c>
      <c r="I11">
        <f>F11-VLOOKUP(A11,'O&amp;M Costs'!A:G,7,FALSE)</f>
        <v/>
      </c>
    </row>
    <row r="13">
      <c r="A13" t="inlineStr">
        <is>
          <t>PORTFOLIO TOTAL</t>
        </is>
      </c>
      <c r="B13">
        <f>SUM(B2:B11)</f>
        <v/>
      </c>
      <c r="C13">
        <f>SUM(C2:C11)</f>
        <v/>
      </c>
      <c r="F13">
        <f>SUM(F2:F11)</f>
        <v/>
      </c>
      <c r="I13">
        <f>SUM(I2:I11)</f>
        <v/>
      </c>
    </row>
    <row r="14">
      <c r="A14" t="inlineStr">
        <is>
          <t>Weighted Avg PR</t>
        </is>
      </c>
      <c r="H14">
        <f>SUMPRODUCT(B2:B11,H2:H11)/SUM(B2:B11)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Effective Date</t>
        </is>
      </c>
      <c r="D1" s="1" t="inlineStr">
        <is>
          <t>Notes</t>
        </is>
      </c>
    </row>
    <row r="2">
      <c r="A2" t="inlineStr">
        <is>
          <t>AnnualDegradationRate</t>
        </is>
      </c>
      <c r="B2" t="n">
        <v>0.005</v>
      </c>
      <c r="C2" s="2" t="n">
        <v>45658</v>
      </c>
      <c r="D2" t="inlineStr">
        <is>
          <t>Default annual panel degradation</t>
        </is>
      </c>
    </row>
    <row r="3">
      <c r="A3" t="inlineStr">
        <is>
          <t>DiscountRate</t>
        </is>
      </c>
      <c r="B3" t="n">
        <v>0.08</v>
      </c>
      <c r="C3" s="2" t="n">
        <v>44986</v>
      </c>
      <c r="D3" t="inlineStr">
        <is>
          <t>STALE — project WACC</t>
        </is>
      </c>
    </row>
    <row r="4">
      <c r="A4" t="inlineStr">
        <is>
          <t>ITCRate</t>
        </is>
      </c>
      <c r="B4" t="n">
        <v>0.3</v>
      </c>
      <c r="C4" s="2" t="n">
        <v>45444</v>
      </c>
      <c r="D4" t="inlineStr">
        <is>
          <t>Investment tax credit rate</t>
        </is>
      </c>
    </row>
    <row r="5">
      <c r="A5" t="inlineStr">
        <is>
          <t>OM_EscalationRate</t>
        </is>
      </c>
      <c r="B5" t="n">
        <v>0.025</v>
      </c>
      <c r="C5" s="2" t="n">
        <v>45658</v>
      </c>
      <c r="D5" t="inlineStr">
        <is>
          <t>O&amp;M cost escalation</t>
        </is>
      </c>
    </row>
    <row r="6">
      <c r="A6" t="inlineStr">
        <is>
          <t>LandLeaseEscalation</t>
        </is>
      </c>
      <c r="B6" t="n">
        <v>0.02</v>
      </c>
      <c r="C6" s="2" t="n">
        <v>45658</v>
      </c>
      <c r="D6" t="inlineStr">
        <is>
          <t>Land lease escalation</t>
        </is>
      </c>
    </row>
    <row r="7">
      <c r="A7" t="inlineStr">
        <is>
          <t>InsuranceEscalation</t>
        </is>
      </c>
      <c r="B7" t="n">
        <v>0.03</v>
      </c>
      <c r="C7" s="2" t="n">
        <v>44927</v>
      </c>
      <c r="D7" t="inlineStr">
        <is>
          <t>STALE — insurance escalation</t>
        </is>
      </c>
    </row>
    <row r="8">
      <c r="A8" t="inlineStr">
        <is>
          <t>TaxEquitySplit</t>
        </is>
      </c>
      <c r="B8" t="n">
        <v>0.995</v>
      </c>
      <c r="C8" s="2" t="n">
        <v>45444</v>
      </c>
      <c r="D8" t="inlineStr">
        <is>
          <t>Pre-flip tax equity split</t>
        </is>
      </c>
    </row>
    <row r="9">
      <c r="A9" t="inlineStr">
        <is>
          <t>PostFlipSplit</t>
        </is>
      </c>
      <c r="B9" t="n">
        <v>0.05</v>
      </c>
      <c r="C9" s="2" t="n">
        <v>45444</v>
      </c>
      <c r="D9" t="inlineStr">
        <is>
          <t>Post-flip tax equity split</t>
        </is>
      </c>
    </row>
    <row r="10">
      <c r="A10" t="inlineStr">
        <is>
          <t>TaxEquityFlipDate</t>
        </is>
      </c>
      <c r="B10" s="2" t="n">
        <v>46905</v>
      </c>
      <c r="C10" s="2" t="n">
        <v>45444</v>
      </c>
      <c r="D10" t="inlineStr">
        <is>
          <t>Flip date</t>
        </is>
      </c>
    </row>
    <row r="11">
      <c r="A11" t="inlineStr">
        <is>
          <t>DefaultPriceCurveSheet</t>
        </is>
      </c>
      <c r="B11" t="inlineStr">
        <is>
          <t>Price Curves</t>
        </is>
      </c>
      <c r="C11" s="2" t="n">
        <v>45658</v>
      </c>
      <c r="D11" t="inlineStr">
        <is>
          <t>Sheet used by INDIRECT</t>
        </is>
      </c>
    </row>
    <row r="12">
      <c r="A12" t="inlineStr">
        <is>
          <t>PortfolioWideDegradation</t>
        </is>
      </c>
      <c r="B12" t="n">
        <v>0.005</v>
      </c>
      <c r="C12" s="2" t="n">
        <v>45658</v>
      </c>
      <c r="D12" t="inlineStr">
        <is>
          <t>Also default</t>
        </is>
      </c>
    </row>
    <row r="15">
      <c r="A15" t="inlineStr">
        <is>
          <t>Alpha_DegradationOverride</t>
        </is>
      </c>
      <c r="B15" t="n">
        <v>0.007</v>
      </c>
      <c r="C15" s="2" t="n">
        <v>45689</v>
      </c>
      <c r="D15" t="inlineStr">
        <is>
          <t>Site Alpha override</t>
        </is>
      </c>
    </row>
    <row r="16">
      <c r="A16" t="inlineStr">
        <is>
          <t>Gamma_EscalationCap</t>
        </is>
      </c>
      <c r="B16" t="n">
        <v>0.02</v>
      </c>
      <c r="C16" s="2" t="n">
        <v>45689</v>
      </c>
      <c r="D16" t="inlineStr">
        <is>
          <t>Site Gamma escalation cap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Inverter</t>
        </is>
      </c>
      <c r="C1" s="1" t="inlineStr">
        <is>
          <t>Month</t>
        </is>
      </c>
      <c r="D1" s="1" t="inlineStr">
        <is>
          <t>kWh Generated</t>
        </is>
      </c>
      <c r="E1" s="1" t="inlineStr">
        <is>
          <t>Availability</t>
        </is>
      </c>
      <c r="F1" s="1" t="inlineStr">
        <is>
          <t>Curtailment kWh</t>
        </is>
      </c>
      <c r="G1" s="1" t="inlineStr">
        <is>
          <t>Net Generation</t>
        </is>
      </c>
    </row>
    <row r="2">
      <c r="A2" t="inlineStr">
        <is>
          <t>Alpha</t>
        </is>
      </c>
      <c r="B2" t="inlineStr">
        <is>
          <t>INV-AL-1</t>
        </is>
      </c>
      <c r="C2" t="inlineStr">
        <is>
          <t>Jan</t>
        </is>
      </c>
      <c r="D2" t="n">
        <v>134890</v>
      </c>
      <c r="E2" t="n">
        <v>0.9927</v>
      </c>
      <c r="F2" t="n">
        <v>1617</v>
      </c>
      <c r="G2">
        <f>D2-F2</f>
        <v/>
      </c>
    </row>
    <row r="3">
      <c r="A3" t="inlineStr">
        <is>
          <t>Alpha</t>
        </is>
      </c>
      <c r="B3" t="inlineStr">
        <is>
          <t>INV-AL-1</t>
        </is>
      </c>
      <c r="C3" t="inlineStr">
        <is>
          <t>Feb</t>
        </is>
      </c>
      <c r="D3" t="n">
        <v>62657</v>
      </c>
      <c r="E3" t="n">
        <v>0.9533</v>
      </c>
      <c r="F3" t="n">
        <v>2194</v>
      </c>
      <c r="G3">
        <f>D3-F3</f>
        <v/>
      </c>
    </row>
    <row r="4">
      <c r="A4" t="inlineStr">
        <is>
          <t>Alpha</t>
        </is>
      </c>
      <c r="B4" t="inlineStr">
        <is>
          <t>INV-AL-1</t>
        </is>
      </c>
      <c r="C4" t="inlineStr">
        <is>
          <t>Mar</t>
        </is>
      </c>
      <c r="D4" t="n">
        <v>74675</v>
      </c>
      <c r="E4" t="n">
        <v>0.9665</v>
      </c>
      <c r="F4" t="n">
        <v>237</v>
      </c>
      <c r="G4">
        <f>D4-F4</f>
        <v/>
      </c>
    </row>
    <row r="5">
      <c r="A5" t="inlineStr">
        <is>
          <t>Alpha</t>
        </is>
      </c>
      <c r="B5" t="inlineStr">
        <is>
          <t>INV-AL-1</t>
        </is>
      </c>
      <c r="C5" t="inlineStr">
        <is>
          <t>Apr</t>
        </is>
      </c>
      <c r="D5" t="n">
        <v>183021</v>
      </c>
      <c r="E5" t="n">
        <v>0.9597</v>
      </c>
      <c r="F5" t="n">
        <v>352</v>
      </c>
      <c r="G5">
        <f>D5-F5</f>
        <v/>
      </c>
    </row>
    <row r="6">
      <c r="A6" t="inlineStr">
        <is>
          <t>Alpha</t>
        </is>
      </c>
      <c r="B6" t="inlineStr">
        <is>
          <t>INV-AL-1</t>
        </is>
      </c>
      <c r="C6" t="inlineStr">
        <is>
          <t>May</t>
        </is>
      </c>
      <c r="D6" t="n">
        <v>163677</v>
      </c>
      <c r="E6" t="n">
        <v>0.9688</v>
      </c>
      <c r="F6" t="n">
        <v>985</v>
      </c>
      <c r="G6">
        <f>D6-F6</f>
        <v/>
      </c>
    </row>
    <row r="7">
      <c r="A7" t="inlineStr">
        <is>
          <t>Alpha</t>
        </is>
      </c>
      <c r="B7" t="inlineStr">
        <is>
          <t>INV-AL-1</t>
        </is>
      </c>
      <c r="C7" t="inlineStr">
        <is>
          <t>Jun</t>
        </is>
      </c>
      <c r="D7" t="n">
        <v>73779</v>
      </c>
      <c r="E7" t="n">
        <v>0.9748</v>
      </c>
      <c r="F7" t="n">
        <v>242</v>
      </c>
      <c r="G7">
        <f>D7-F7</f>
        <v/>
      </c>
    </row>
    <row r="8">
      <c r="A8" t="inlineStr">
        <is>
          <t>Alpha</t>
        </is>
      </c>
      <c r="B8" t="inlineStr">
        <is>
          <t>INV-AL-1</t>
        </is>
      </c>
      <c r="C8" t="inlineStr">
        <is>
          <t>Jul</t>
        </is>
      </c>
      <c r="D8" t="n">
        <v>198230</v>
      </c>
      <c r="E8" t="n">
        <v>0.9556</v>
      </c>
      <c r="F8" t="n">
        <v>914</v>
      </c>
      <c r="G8">
        <f>D8-F8</f>
        <v/>
      </c>
    </row>
    <row r="9">
      <c r="A9" t="inlineStr">
        <is>
          <t>Alpha</t>
        </is>
      </c>
      <c r="B9" t="inlineStr">
        <is>
          <t>INV-AL-1</t>
        </is>
      </c>
      <c r="C9" t="inlineStr">
        <is>
          <t>Aug</t>
        </is>
      </c>
      <c r="D9" t="n">
        <v>66216</v>
      </c>
      <c r="E9" t="n">
        <v>0.976</v>
      </c>
      <c r="F9" t="n">
        <v>1624</v>
      </c>
      <c r="G9">
        <f>D9-F9</f>
        <v/>
      </c>
    </row>
    <row r="10">
      <c r="A10" t="inlineStr">
        <is>
          <t>Alpha</t>
        </is>
      </c>
      <c r="B10" t="inlineStr">
        <is>
          <t>INV-AL-1</t>
        </is>
      </c>
      <c r="C10" t="inlineStr">
        <is>
          <t>Sep</t>
        </is>
      </c>
      <c r="D10" t="n">
        <v>62999</v>
      </c>
      <c r="E10" t="n">
        <v>0.9939</v>
      </c>
      <c r="F10" t="n">
        <v>190</v>
      </c>
      <c r="G10">
        <f>D10-F10</f>
        <v/>
      </c>
    </row>
    <row r="11">
      <c r="A11" t="inlineStr">
        <is>
          <t>Alpha</t>
        </is>
      </c>
      <c r="B11" t="inlineStr">
        <is>
          <t>INV-AL-1</t>
        </is>
      </c>
      <c r="C11" t="inlineStr">
        <is>
          <t>Oct</t>
        </is>
      </c>
      <c r="D11" t="n">
        <v>195926</v>
      </c>
      <c r="E11" t="n">
        <v>0.9886</v>
      </c>
      <c r="F11" t="n">
        <v>1186</v>
      </c>
      <c r="G11">
        <f>D11-F11</f>
        <v/>
      </c>
    </row>
    <row r="12">
      <c r="A12" t="inlineStr">
        <is>
          <t>Alpha</t>
        </is>
      </c>
      <c r="B12" t="inlineStr">
        <is>
          <t>INV-AL-1</t>
        </is>
      </c>
      <c r="C12" t="inlineStr">
        <is>
          <t>Nov</t>
        </is>
      </c>
      <c r="D12" t="n">
        <v>159874</v>
      </c>
      <c r="E12" t="n">
        <v>0.9565</v>
      </c>
      <c r="F12" t="n">
        <v>482</v>
      </c>
      <c r="G12">
        <f>D12-F12</f>
        <v/>
      </c>
    </row>
    <row r="13">
      <c r="A13" t="inlineStr">
        <is>
          <t>Alpha</t>
        </is>
      </c>
      <c r="B13" t="inlineStr">
        <is>
          <t>INV-AL-1</t>
        </is>
      </c>
      <c r="C13" t="inlineStr">
        <is>
          <t>Dec</t>
        </is>
      </c>
      <c r="D13" t="n">
        <v>199661</v>
      </c>
      <c r="E13" t="n">
        <v>0.9639</v>
      </c>
      <c r="F13" t="n">
        <v>2793</v>
      </c>
      <c r="G13">
        <f>D13-F13</f>
        <v/>
      </c>
    </row>
    <row r="14">
      <c r="A14" t="inlineStr">
        <is>
          <t>Alpha</t>
        </is>
      </c>
      <c r="B14" t="inlineStr">
        <is>
          <t>INV-AL-2</t>
        </is>
      </c>
      <c r="C14" t="inlineStr">
        <is>
          <t>Jan</t>
        </is>
      </c>
      <c r="D14" t="n">
        <v>97376</v>
      </c>
      <c r="E14" t="n">
        <v>0.9546</v>
      </c>
      <c r="F14" t="n">
        <v>2339</v>
      </c>
      <c r="G14">
        <f>D14-F14</f>
        <v/>
      </c>
    </row>
    <row r="15">
      <c r="A15" t="inlineStr">
        <is>
          <t>Alpha</t>
        </is>
      </c>
      <c r="B15" t="inlineStr">
        <is>
          <t>INV-AL-2</t>
        </is>
      </c>
      <c r="C15" t="inlineStr">
        <is>
          <t>Feb</t>
        </is>
      </c>
      <c r="D15" t="n">
        <v>99249</v>
      </c>
      <c r="E15" t="n">
        <v>0.9668</v>
      </c>
      <c r="F15" t="n">
        <v>2243</v>
      </c>
      <c r="G15">
        <f>D15-F15</f>
        <v/>
      </c>
    </row>
    <row r="16">
      <c r="A16" t="inlineStr">
        <is>
          <t>Alpha</t>
        </is>
      </c>
      <c r="B16" t="inlineStr">
        <is>
          <t>INV-AL-2</t>
        </is>
      </c>
      <c r="C16" t="inlineStr">
        <is>
          <t>Mar</t>
        </is>
      </c>
      <c r="D16" t="n">
        <v>66459</v>
      </c>
      <c r="E16" t="n">
        <v>0.9754</v>
      </c>
      <c r="F16" t="n">
        <v>2535</v>
      </c>
      <c r="G16">
        <f>D16-F16</f>
        <v/>
      </c>
    </row>
    <row r="17">
      <c r="A17" t="inlineStr">
        <is>
          <t>Alpha</t>
        </is>
      </c>
      <c r="B17" t="inlineStr">
        <is>
          <t>INV-AL-2</t>
        </is>
      </c>
      <c r="C17" t="inlineStr">
        <is>
          <t>Apr</t>
        </is>
      </c>
      <c r="D17" t="n">
        <v>103990</v>
      </c>
      <c r="E17" t="n">
        <v>0.9723000000000001</v>
      </c>
      <c r="F17" t="n">
        <v>2177</v>
      </c>
      <c r="G17">
        <f>D17-F17</f>
        <v/>
      </c>
    </row>
    <row r="18">
      <c r="A18" t="inlineStr">
        <is>
          <t>Alpha</t>
        </is>
      </c>
      <c r="B18" t="inlineStr">
        <is>
          <t>INV-AL-2</t>
        </is>
      </c>
      <c r="C18" t="inlineStr">
        <is>
          <t>May</t>
        </is>
      </c>
      <c r="D18" t="n">
        <v>162090</v>
      </c>
      <c r="E18" t="n">
        <v>0.985</v>
      </c>
      <c r="F18" t="n">
        <v>1907</v>
      </c>
      <c r="G18">
        <f>D18-F18</f>
        <v/>
      </c>
    </row>
    <row r="19">
      <c r="A19" t="inlineStr">
        <is>
          <t>Alpha</t>
        </is>
      </c>
      <c r="B19" t="inlineStr">
        <is>
          <t>INV-AL-2</t>
        </is>
      </c>
      <c r="C19" t="inlineStr">
        <is>
          <t>Jun</t>
        </is>
      </c>
      <c r="D19" t="n">
        <v>168799</v>
      </c>
      <c r="E19" t="n">
        <v>0.9663</v>
      </c>
      <c r="F19" t="n">
        <v>1017</v>
      </c>
      <c r="G19">
        <f>D19-F19</f>
        <v/>
      </c>
    </row>
    <row r="20">
      <c r="A20" t="inlineStr">
        <is>
          <t>Alpha</t>
        </is>
      </c>
      <c r="B20" t="inlineStr">
        <is>
          <t>INV-AL-2</t>
        </is>
      </c>
      <c r="C20" t="inlineStr">
        <is>
          <t>Jul</t>
        </is>
      </c>
      <c r="D20" t="n">
        <v>97124</v>
      </c>
      <c r="E20" t="n">
        <v>0.9815</v>
      </c>
      <c r="F20" t="n">
        <v>999</v>
      </c>
      <c r="G20">
        <f>D20-F20</f>
        <v/>
      </c>
    </row>
    <row r="21">
      <c r="A21" t="inlineStr">
        <is>
          <t>Alpha</t>
        </is>
      </c>
      <c r="B21" t="inlineStr">
        <is>
          <t>INV-AL-2</t>
        </is>
      </c>
      <c r="C21" t="inlineStr">
        <is>
          <t>Aug</t>
        </is>
      </c>
      <c r="D21" t="n">
        <v>71457</v>
      </c>
      <c r="E21" t="n">
        <v>0.9758</v>
      </c>
      <c r="F21" t="n">
        <v>2151</v>
      </c>
      <c r="G21">
        <f>D21-F21</f>
        <v/>
      </c>
    </row>
    <row r="22">
      <c r="A22" t="inlineStr">
        <is>
          <t>Alpha</t>
        </is>
      </c>
      <c r="B22" t="inlineStr">
        <is>
          <t>INV-AL-2</t>
        </is>
      </c>
      <c r="C22" t="inlineStr">
        <is>
          <t>Sep</t>
        </is>
      </c>
      <c r="D22" t="n">
        <v>179791</v>
      </c>
      <c r="E22" t="n">
        <v>0.9893999999999999</v>
      </c>
      <c r="F22" t="n">
        <v>2987</v>
      </c>
      <c r="G22">
        <f>D22-F22</f>
        <v/>
      </c>
    </row>
    <row r="23">
      <c r="A23" t="inlineStr">
        <is>
          <t>Alpha</t>
        </is>
      </c>
      <c r="B23" t="inlineStr">
        <is>
          <t>INV-AL-2</t>
        </is>
      </c>
      <c r="C23" t="inlineStr">
        <is>
          <t>Oct</t>
        </is>
      </c>
      <c r="D23" t="n">
        <v>167659</v>
      </c>
      <c r="E23" t="n">
        <v>0.963</v>
      </c>
      <c r="F23" t="n">
        <v>299</v>
      </c>
      <c r="G23">
        <f>D23-F23</f>
        <v/>
      </c>
    </row>
    <row r="24">
      <c r="A24" t="inlineStr">
        <is>
          <t>Alpha</t>
        </is>
      </c>
      <c r="B24" t="inlineStr">
        <is>
          <t>INV-AL-2</t>
        </is>
      </c>
      <c r="C24" t="inlineStr">
        <is>
          <t>Nov</t>
        </is>
      </c>
      <c r="D24" t="n">
        <v>80950</v>
      </c>
      <c r="E24" t="n">
        <v>0.973</v>
      </c>
      <c r="F24" t="n">
        <v>675</v>
      </c>
      <c r="G24">
        <f>D24-F24</f>
        <v/>
      </c>
    </row>
    <row r="25">
      <c r="A25" t="inlineStr">
        <is>
          <t>Alpha</t>
        </is>
      </c>
      <c r="B25" t="inlineStr">
        <is>
          <t>INV-AL-2</t>
        </is>
      </c>
      <c r="C25" t="inlineStr">
        <is>
          <t>Dec</t>
        </is>
      </c>
      <c r="D25" t="n">
        <v>139667</v>
      </c>
      <c r="E25" t="n">
        <v>0.9568</v>
      </c>
      <c r="F25" t="n">
        <v>2002</v>
      </c>
      <c r="G25">
        <f>D25-F25</f>
        <v/>
      </c>
    </row>
    <row r="26">
      <c r="A26" t="inlineStr">
        <is>
          <t>Beta</t>
        </is>
      </c>
      <c r="B26" t="inlineStr">
        <is>
          <t>INV-BE-1</t>
        </is>
      </c>
      <c r="C26" t="inlineStr">
        <is>
          <t>Jan</t>
        </is>
      </c>
      <c r="D26" t="n">
        <v>160545</v>
      </c>
      <c r="E26" t="n">
        <v>0.9518</v>
      </c>
      <c r="F26" t="n">
        <v>2737</v>
      </c>
      <c r="G26">
        <f>D26-F26</f>
        <v/>
      </c>
    </row>
    <row r="27">
      <c r="A27" t="inlineStr">
        <is>
          <t>Beta</t>
        </is>
      </c>
      <c r="B27" t="inlineStr">
        <is>
          <t>INV-BE-1</t>
        </is>
      </c>
      <c r="C27" t="inlineStr">
        <is>
          <t>Feb</t>
        </is>
      </c>
      <c r="D27" t="n">
        <v>70347</v>
      </c>
      <c r="E27" t="n">
        <v>0.9844000000000001</v>
      </c>
      <c r="F27" t="n">
        <v>2347</v>
      </c>
      <c r="G27">
        <f>D27-F27</f>
        <v/>
      </c>
    </row>
    <row r="28">
      <c r="A28" t="inlineStr">
        <is>
          <t>Beta</t>
        </is>
      </c>
      <c r="B28" t="inlineStr">
        <is>
          <t>INV-BE-1</t>
        </is>
      </c>
      <c r="C28" t="inlineStr">
        <is>
          <t>Mar</t>
        </is>
      </c>
      <c r="D28" t="n">
        <v>132247</v>
      </c>
      <c r="E28" t="n">
        <v>0.9653</v>
      </c>
      <c r="F28" t="n">
        <v>1434</v>
      </c>
      <c r="G28">
        <f>D28-F28</f>
        <v/>
      </c>
    </row>
    <row r="29">
      <c r="A29" t="inlineStr">
        <is>
          <t>Beta</t>
        </is>
      </c>
      <c r="B29" t="inlineStr">
        <is>
          <t>INV-BE-1</t>
        </is>
      </c>
      <c r="C29" t="inlineStr">
        <is>
          <t>Apr</t>
        </is>
      </c>
      <c r="D29" t="n">
        <v>180200</v>
      </c>
      <c r="E29" t="n">
        <v>0.9761</v>
      </c>
      <c r="F29" t="n">
        <v>1868</v>
      </c>
      <c r="G29">
        <f>D29-F29</f>
        <v/>
      </c>
    </row>
    <row r="30">
      <c r="A30" t="inlineStr">
        <is>
          <t>Beta</t>
        </is>
      </c>
      <c r="B30" t="inlineStr">
        <is>
          <t>INV-BE-1</t>
        </is>
      </c>
      <c r="C30" t="inlineStr">
        <is>
          <t>May</t>
        </is>
      </c>
      <c r="D30" t="n">
        <v>68025</v>
      </c>
      <c r="E30" t="n">
        <v>0.9878</v>
      </c>
      <c r="F30" t="n">
        <v>1105</v>
      </c>
      <c r="G30">
        <f>D30-F30</f>
        <v/>
      </c>
    </row>
    <row r="31">
      <c r="A31" t="inlineStr">
        <is>
          <t>Beta</t>
        </is>
      </c>
      <c r="B31" t="inlineStr">
        <is>
          <t>INV-BE-1</t>
        </is>
      </c>
      <c r="C31" t="inlineStr">
        <is>
          <t>Jun</t>
        </is>
      </c>
      <c r="D31" t="n">
        <v>174282</v>
      </c>
      <c r="E31" t="n">
        <v>0.9814000000000001</v>
      </c>
      <c r="F31" t="n">
        <v>266</v>
      </c>
      <c r="G31">
        <f>D31-F31</f>
        <v/>
      </c>
    </row>
    <row r="32">
      <c r="A32" t="inlineStr">
        <is>
          <t>Beta</t>
        </is>
      </c>
      <c r="B32" t="inlineStr">
        <is>
          <t>INV-BE-1</t>
        </is>
      </c>
      <c r="C32" t="inlineStr">
        <is>
          <t>Jul</t>
        </is>
      </c>
      <c r="D32" t="n">
        <v>65904</v>
      </c>
      <c r="E32" t="n">
        <v>0.9829</v>
      </c>
      <c r="F32" t="n">
        <v>1268</v>
      </c>
      <c r="G32">
        <f>D32-F32</f>
        <v/>
      </c>
    </row>
    <row r="33">
      <c r="A33" t="inlineStr">
        <is>
          <t>Beta</t>
        </is>
      </c>
      <c r="B33" t="inlineStr">
        <is>
          <t>INV-BE-1</t>
        </is>
      </c>
      <c r="C33" t="inlineStr">
        <is>
          <t>Aug</t>
        </is>
      </c>
      <c r="D33" t="n">
        <v>166822</v>
      </c>
      <c r="E33" t="n">
        <v>0.9628</v>
      </c>
      <c r="F33" t="n">
        <v>1580</v>
      </c>
      <c r="G33">
        <f>D33-F33</f>
        <v/>
      </c>
    </row>
    <row r="34">
      <c r="A34" t="inlineStr">
        <is>
          <t>Beta</t>
        </is>
      </c>
      <c r="B34" t="inlineStr">
        <is>
          <t>INV-BE-1</t>
        </is>
      </c>
      <c r="C34" t="inlineStr">
        <is>
          <t>Sep</t>
        </is>
      </c>
      <c r="D34" t="n">
        <v>140965</v>
      </c>
      <c r="E34" t="n">
        <v>0.951</v>
      </c>
      <c r="F34" t="n">
        <v>1891</v>
      </c>
      <c r="G34">
        <f>D34-F34</f>
        <v/>
      </c>
    </row>
    <row r="35">
      <c r="A35" t="inlineStr">
        <is>
          <t>Beta</t>
        </is>
      </c>
      <c r="B35" t="inlineStr">
        <is>
          <t>INV-BE-1</t>
        </is>
      </c>
      <c r="C35" t="inlineStr">
        <is>
          <t>Oct</t>
        </is>
      </c>
      <c r="D35" t="n">
        <v>143182</v>
      </c>
      <c r="E35" t="n">
        <v>0.9576</v>
      </c>
      <c r="F35" t="n">
        <v>479</v>
      </c>
      <c r="G35">
        <f>D35-F35</f>
        <v/>
      </c>
    </row>
    <row r="36">
      <c r="A36" t="inlineStr">
        <is>
          <t>Beta</t>
        </is>
      </c>
      <c r="B36" t="inlineStr">
        <is>
          <t>INV-BE-1</t>
        </is>
      </c>
      <c r="C36" t="inlineStr">
        <is>
          <t>Nov</t>
        </is>
      </c>
      <c r="D36" t="n">
        <v>179418</v>
      </c>
      <c r="E36" t="n">
        <v>0.9527</v>
      </c>
      <c r="F36" t="n">
        <v>1177</v>
      </c>
      <c r="G36">
        <f>D36-F36</f>
        <v/>
      </c>
    </row>
    <row r="37">
      <c r="A37" t="inlineStr">
        <is>
          <t>Beta</t>
        </is>
      </c>
      <c r="B37" t="inlineStr">
        <is>
          <t>INV-BE-1</t>
        </is>
      </c>
      <c r="C37" t="inlineStr">
        <is>
          <t>Dec</t>
        </is>
      </c>
      <c r="D37" t="n">
        <v>83905</v>
      </c>
      <c r="E37" t="n">
        <v>0.9832</v>
      </c>
      <c r="F37" t="n">
        <v>1629</v>
      </c>
      <c r="G37">
        <f>D37-F37</f>
        <v/>
      </c>
    </row>
    <row r="38">
      <c r="A38" t="inlineStr">
        <is>
          <t>Beta</t>
        </is>
      </c>
      <c r="B38" t="inlineStr">
        <is>
          <t>INV-BE-2</t>
        </is>
      </c>
      <c r="C38" t="inlineStr">
        <is>
          <t>Jan</t>
        </is>
      </c>
      <c r="D38" t="n">
        <v>152485</v>
      </c>
      <c r="E38" t="n">
        <v>0.9913</v>
      </c>
      <c r="F38" t="n">
        <v>2033</v>
      </c>
      <c r="G38">
        <f>D38-F38</f>
        <v/>
      </c>
    </row>
    <row r="39">
      <c r="A39" t="inlineStr">
        <is>
          <t>Beta</t>
        </is>
      </c>
      <c r="B39" t="inlineStr">
        <is>
          <t>INV-BE-2</t>
        </is>
      </c>
      <c r="C39" t="inlineStr">
        <is>
          <t>Feb</t>
        </is>
      </c>
      <c r="D39" t="n">
        <v>71123</v>
      </c>
      <c r="E39" t="n">
        <v>0.9575</v>
      </c>
      <c r="F39" t="n">
        <v>1645</v>
      </c>
      <c r="G39">
        <f>D39-F39</f>
        <v/>
      </c>
    </row>
    <row r="40">
      <c r="A40" t="inlineStr">
        <is>
          <t>Beta</t>
        </is>
      </c>
      <c r="B40" t="inlineStr">
        <is>
          <t>INV-BE-2</t>
        </is>
      </c>
      <c r="C40" t="inlineStr">
        <is>
          <t>Mar</t>
        </is>
      </c>
      <c r="D40" t="n">
        <v>194032</v>
      </c>
      <c r="E40" t="n">
        <v>0.9625</v>
      </c>
      <c r="F40" t="n">
        <v>560</v>
      </c>
      <c r="G40">
        <f>D40-F40</f>
        <v/>
      </c>
    </row>
    <row r="41">
      <c r="A41" t="inlineStr">
        <is>
          <t>Beta</t>
        </is>
      </c>
      <c r="B41" t="inlineStr">
        <is>
          <t>INV-BE-2</t>
        </is>
      </c>
      <c r="C41" t="inlineStr">
        <is>
          <t>Apr</t>
        </is>
      </c>
      <c r="D41" t="n">
        <v>162858</v>
      </c>
      <c r="E41" t="n">
        <v>0.9889</v>
      </c>
      <c r="F41" t="n">
        <v>1140</v>
      </c>
      <c r="G41">
        <f>D41-F41</f>
        <v/>
      </c>
    </row>
    <row r="42">
      <c r="A42" t="inlineStr">
        <is>
          <t>Beta</t>
        </is>
      </c>
      <c r="B42" t="inlineStr">
        <is>
          <t>INV-BE-2</t>
        </is>
      </c>
      <c r="C42" t="inlineStr">
        <is>
          <t>May</t>
        </is>
      </c>
      <c r="D42" t="n">
        <v>158867</v>
      </c>
      <c r="E42" t="n">
        <v>0.9944</v>
      </c>
      <c r="F42" t="n">
        <v>2796</v>
      </c>
      <c r="G42">
        <f>D42-F42</f>
        <v/>
      </c>
    </row>
    <row r="43">
      <c r="A43" t="inlineStr">
        <is>
          <t>Beta</t>
        </is>
      </c>
      <c r="B43" t="inlineStr">
        <is>
          <t>INV-BE-2</t>
        </is>
      </c>
      <c r="C43" t="inlineStr">
        <is>
          <t>Jun</t>
        </is>
      </c>
      <c r="D43" t="n">
        <v>149730</v>
      </c>
      <c r="E43" t="n">
        <v>0.9931</v>
      </c>
      <c r="F43" t="n">
        <v>618</v>
      </c>
      <c r="G43">
        <f>D43-F43</f>
        <v/>
      </c>
    </row>
    <row r="44">
      <c r="A44" t="inlineStr">
        <is>
          <t>Beta</t>
        </is>
      </c>
      <c r="B44" t="inlineStr">
        <is>
          <t>INV-BE-2</t>
        </is>
      </c>
      <c r="C44" t="inlineStr">
        <is>
          <t>Jul</t>
        </is>
      </c>
      <c r="D44" t="n">
        <v>71753</v>
      </c>
      <c r="E44" t="n">
        <v>0.9579</v>
      </c>
      <c r="F44" t="n">
        <v>950</v>
      </c>
      <c r="G44">
        <f>D44-F44</f>
        <v/>
      </c>
    </row>
    <row r="45">
      <c r="A45" t="inlineStr">
        <is>
          <t>Beta</t>
        </is>
      </c>
      <c r="B45" t="inlineStr">
        <is>
          <t>INV-BE-2</t>
        </is>
      </c>
      <c r="C45" t="inlineStr">
        <is>
          <t>Aug</t>
        </is>
      </c>
      <c r="D45" t="n">
        <v>111167</v>
      </c>
      <c r="E45" t="n">
        <v>0.9505</v>
      </c>
      <c r="F45" t="n">
        <v>2413</v>
      </c>
      <c r="G45">
        <f>D45-F45</f>
        <v/>
      </c>
    </row>
    <row r="46">
      <c r="A46" t="inlineStr">
        <is>
          <t>Beta</t>
        </is>
      </c>
      <c r="B46" t="inlineStr">
        <is>
          <t>INV-BE-2</t>
        </is>
      </c>
      <c r="C46" t="inlineStr">
        <is>
          <t>Sep</t>
        </is>
      </c>
      <c r="D46" t="n">
        <v>97800</v>
      </c>
      <c r="E46" t="n">
        <v>0.9618</v>
      </c>
      <c r="F46" t="n">
        <v>16</v>
      </c>
      <c r="G46">
        <f>D46-F46</f>
        <v/>
      </c>
    </row>
    <row r="47">
      <c r="A47" t="inlineStr">
        <is>
          <t>Beta</t>
        </is>
      </c>
      <c r="B47" t="inlineStr">
        <is>
          <t>INV-BE-2</t>
        </is>
      </c>
      <c r="C47" t="inlineStr">
        <is>
          <t>Oct</t>
        </is>
      </c>
      <c r="D47" t="n">
        <v>88188</v>
      </c>
      <c r="E47" t="n">
        <v>0.9689</v>
      </c>
      <c r="F47" t="n">
        <v>1512</v>
      </c>
      <c r="G47">
        <f>D47-F47</f>
        <v/>
      </c>
    </row>
    <row r="48">
      <c r="A48" t="inlineStr">
        <is>
          <t>Beta</t>
        </is>
      </c>
      <c r="B48" t="inlineStr">
        <is>
          <t>INV-BE-2</t>
        </is>
      </c>
      <c r="C48" t="inlineStr">
        <is>
          <t>Nov</t>
        </is>
      </c>
      <c r="D48" t="n">
        <v>198462</v>
      </c>
      <c r="E48" t="n">
        <v>0.9643</v>
      </c>
      <c r="F48" t="n">
        <v>514</v>
      </c>
      <c r="G48">
        <f>D48-F48</f>
        <v/>
      </c>
    </row>
    <row r="49">
      <c r="A49" t="inlineStr">
        <is>
          <t>Beta</t>
        </is>
      </c>
      <c r="B49" t="inlineStr">
        <is>
          <t>INV-BE-2</t>
        </is>
      </c>
      <c r="C49" t="inlineStr">
        <is>
          <t>Dec</t>
        </is>
      </c>
      <c r="D49" t="n">
        <v>185132</v>
      </c>
      <c r="E49" t="n">
        <v>0.9928</v>
      </c>
      <c r="F49" t="n">
        <v>2682</v>
      </c>
      <c r="G49">
        <f>D49-F49</f>
        <v/>
      </c>
    </row>
    <row r="50">
      <c r="A50" t="inlineStr">
        <is>
          <t>Gamma</t>
        </is>
      </c>
      <c r="B50" t="inlineStr">
        <is>
          <t>INV-GA-1</t>
        </is>
      </c>
      <c r="C50" t="inlineStr">
        <is>
          <t>Jan</t>
        </is>
      </c>
      <c r="D50" t="n">
        <v>64153</v>
      </c>
      <c r="E50" t="n">
        <v>0.9705</v>
      </c>
      <c r="F50" t="n">
        <v>2787</v>
      </c>
      <c r="G50">
        <f>D50-F50</f>
        <v/>
      </c>
    </row>
    <row r="51">
      <c r="A51" t="inlineStr">
        <is>
          <t>Gamma</t>
        </is>
      </c>
      <c r="B51" t="inlineStr">
        <is>
          <t>INV-GA-1</t>
        </is>
      </c>
      <c r="C51" t="inlineStr">
        <is>
          <t>Feb</t>
        </is>
      </c>
      <c r="D51" t="n">
        <v>196609</v>
      </c>
      <c r="E51" t="n">
        <v>0.9677</v>
      </c>
      <c r="F51" t="n">
        <v>1634</v>
      </c>
      <c r="G51">
        <f>D51-F51</f>
        <v/>
      </c>
    </row>
    <row r="52">
      <c r="A52" t="inlineStr">
        <is>
          <t>Gamma</t>
        </is>
      </c>
      <c r="B52" t="inlineStr">
        <is>
          <t>INV-GA-1</t>
        </is>
      </c>
      <c r="C52" t="inlineStr">
        <is>
          <t>Mar</t>
        </is>
      </c>
      <c r="D52" t="n">
        <v>153316</v>
      </c>
      <c r="E52" t="n">
        <v>0.9547</v>
      </c>
      <c r="F52" t="n">
        <v>2598</v>
      </c>
      <c r="G52">
        <f>D52-F52</f>
        <v/>
      </c>
    </row>
    <row r="53">
      <c r="A53" t="inlineStr">
        <is>
          <t>Gamma</t>
        </is>
      </c>
      <c r="B53" t="inlineStr">
        <is>
          <t>INV-GA-1</t>
        </is>
      </c>
      <c r="C53" t="inlineStr">
        <is>
          <t>Apr</t>
        </is>
      </c>
      <c r="D53" t="n">
        <v>154973</v>
      </c>
      <c r="E53" t="n">
        <v>0.9528</v>
      </c>
      <c r="F53" t="n">
        <v>275</v>
      </c>
      <c r="G53">
        <f>D53-F53</f>
        <v/>
      </c>
    </row>
    <row r="54">
      <c r="A54" t="inlineStr">
        <is>
          <t>Gamma</t>
        </is>
      </c>
      <c r="B54" t="inlineStr">
        <is>
          <t>INV-GA-1</t>
        </is>
      </c>
      <c r="C54" t="inlineStr">
        <is>
          <t>May</t>
        </is>
      </c>
      <c r="D54" t="n">
        <v>104726</v>
      </c>
      <c r="E54" t="n">
        <v>0.9698</v>
      </c>
      <c r="F54" t="n">
        <v>450</v>
      </c>
      <c r="G54">
        <f>D54-F54</f>
        <v/>
      </c>
    </row>
    <row r="55">
      <c r="A55" t="inlineStr">
        <is>
          <t>Gamma</t>
        </is>
      </c>
      <c r="B55" t="inlineStr">
        <is>
          <t>INV-GA-1</t>
        </is>
      </c>
      <c r="C55" t="inlineStr">
        <is>
          <t>Jun</t>
        </is>
      </c>
      <c r="D55" t="n">
        <v>139143</v>
      </c>
      <c r="E55" t="n">
        <v>0.977</v>
      </c>
      <c r="F55" t="n">
        <v>419</v>
      </c>
      <c r="G55">
        <f>D55-F55</f>
        <v/>
      </c>
    </row>
    <row r="56">
      <c r="A56" t="inlineStr">
        <is>
          <t>Gamma</t>
        </is>
      </c>
      <c r="B56" t="inlineStr">
        <is>
          <t>INV-GA-1</t>
        </is>
      </c>
      <c r="C56" t="inlineStr">
        <is>
          <t>Jul</t>
        </is>
      </c>
      <c r="D56" t="n">
        <v>50061</v>
      </c>
      <c r="E56" t="n">
        <v>0.9755</v>
      </c>
      <c r="F56" t="n">
        <v>2197</v>
      </c>
      <c r="G56">
        <f>D56-F56</f>
        <v/>
      </c>
    </row>
    <row r="57">
      <c r="A57" t="inlineStr">
        <is>
          <t>Gamma</t>
        </is>
      </c>
      <c r="B57" t="inlineStr">
        <is>
          <t>INV-GA-1</t>
        </is>
      </c>
      <c r="C57" t="inlineStr">
        <is>
          <t>Aug</t>
        </is>
      </c>
      <c r="D57" t="n">
        <v>76598</v>
      </c>
      <c r="E57" t="n">
        <v>0.9927</v>
      </c>
      <c r="F57" t="n">
        <v>2513</v>
      </c>
      <c r="G57">
        <f>D57-F57</f>
        <v/>
      </c>
    </row>
    <row r="58">
      <c r="A58" t="inlineStr">
        <is>
          <t>Gamma</t>
        </is>
      </c>
      <c r="B58" t="inlineStr">
        <is>
          <t>INV-GA-1</t>
        </is>
      </c>
      <c r="C58" t="inlineStr">
        <is>
          <t>Sep</t>
        </is>
      </c>
      <c r="D58" t="n">
        <v>56684</v>
      </c>
      <c r="E58" t="n">
        <v>0.9532</v>
      </c>
      <c r="F58" t="n">
        <v>851</v>
      </c>
      <c r="G58">
        <f>D58-F58</f>
        <v/>
      </c>
    </row>
    <row r="59">
      <c r="A59" t="inlineStr">
        <is>
          <t>Gamma</t>
        </is>
      </c>
      <c r="B59" t="inlineStr">
        <is>
          <t>INV-GA-1</t>
        </is>
      </c>
      <c r="C59" t="inlineStr">
        <is>
          <t>Oct</t>
        </is>
      </c>
      <c r="D59" t="n">
        <v>148626</v>
      </c>
      <c r="E59" t="n">
        <v>0.9567</v>
      </c>
      <c r="F59" t="n">
        <v>1033</v>
      </c>
      <c r="G59">
        <f>D59-F59</f>
        <v/>
      </c>
    </row>
    <row r="60">
      <c r="A60" t="inlineStr">
        <is>
          <t>Gamma</t>
        </is>
      </c>
      <c r="B60" t="inlineStr">
        <is>
          <t>INV-GA-1</t>
        </is>
      </c>
      <c r="C60" t="inlineStr">
        <is>
          <t>Nov</t>
        </is>
      </c>
      <c r="D60" t="n">
        <v>141066</v>
      </c>
      <c r="E60" t="n">
        <v>0.9771</v>
      </c>
      <c r="F60" t="n">
        <v>1942</v>
      </c>
      <c r="G60">
        <f>D60-F60</f>
        <v/>
      </c>
    </row>
    <row r="61">
      <c r="A61" t="inlineStr">
        <is>
          <t>Gamma</t>
        </is>
      </c>
      <c r="B61" t="inlineStr">
        <is>
          <t>INV-GA-1</t>
        </is>
      </c>
      <c r="C61" t="inlineStr">
        <is>
          <t>Dec</t>
        </is>
      </c>
      <c r="D61" t="n">
        <v>82202</v>
      </c>
      <c r="E61" t="n">
        <v>0.9552</v>
      </c>
      <c r="F61" t="n">
        <v>1999</v>
      </c>
      <c r="G61">
        <f>D61-F61</f>
        <v/>
      </c>
    </row>
    <row r="62">
      <c r="A62" t="inlineStr">
        <is>
          <t>Gamma</t>
        </is>
      </c>
      <c r="B62" t="inlineStr">
        <is>
          <t>INV-GA-2</t>
        </is>
      </c>
      <c r="C62" t="inlineStr">
        <is>
          <t>Jan</t>
        </is>
      </c>
      <c r="D62" t="n">
        <v>172156</v>
      </c>
      <c r="E62" t="n">
        <v>0.9716</v>
      </c>
      <c r="F62" t="n">
        <v>1277</v>
      </c>
      <c r="G62">
        <f>D62-F62</f>
        <v/>
      </c>
    </row>
    <row r="63">
      <c r="A63" t="inlineStr">
        <is>
          <t>Gamma</t>
        </is>
      </c>
      <c r="B63" t="inlineStr">
        <is>
          <t>INV-GA-2</t>
        </is>
      </c>
      <c r="C63" t="inlineStr">
        <is>
          <t>Feb</t>
        </is>
      </c>
      <c r="D63" t="n">
        <v>72514</v>
      </c>
      <c r="E63" t="n">
        <v>0.9565</v>
      </c>
      <c r="F63" t="n">
        <v>1403</v>
      </c>
      <c r="G63">
        <f>D63-F63</f>
        <v/>
      </c>
    </row>
    <row r="64">
      <c r="A64" t="inlineStr">
        <is>
          <t>Gamma</t>
        </is>
      </c>
      <c r="B64" t="inlineStr">
        <is>
          <t>INV-GA-2</t>
        </is>
      </c>
      <c r="C64" t="inlineStr">
        <is>
          <t>Mar</t>
        </is>
      </c>
      <c r="D64" t="n">
        <v>119404</v>
      </c>
      <c r="E64" t="n">
        <v>0.9715</v>
      </c>
      <c r="F64" t="n">
        <v>2834</v>
      </c>
      <c r="G64">
        <f>D64-F64</f>
        <v/>
      </c>
    </row>
    <row r="65">
      <c r="A65" t="inlineStr">
        <is>
          <t>Gamma</t>
        </is>
      </c>
      <c r="B65" t="inlineStr">
        <is>
          <t>INV-GA-2</t>
        </is>
      </c>
      <c r="C65" t="inlineStr">
        <is>
          <t>Apr</t>
        </is>
      </c>
      <c r="D65" t="n">
        <v>92320</v>
      </c>
      <c r="E65" t="n">
        <v>0.9732</v>
      </c>
      <c r="F65" t="n">
        <v>840</v>
      </c>
      <c r="G65">
        <f>D65-F65</f>
        <v/>
      </c>
    </row>
    <row r="66">
      <c r="A66" t="inlineStr">
        <is>
          <t>Gamma</t>
        </is>
      </c>
      <c r="B66" t="inlineStr">
        <is>
          <t>INV-GA-2</t>
        </is>
      </c>
      <c r="C66" t="inlineStr">
        <is>
          <t>May</t>
        </is>
      </c>
      <c r="D66" t="n">
        <v>188479</v>
      </c>
      <c r="E66" t="n">
        <v>0.9663</v>
      </c>
      <c r="F66" t="n">
        <v>2826</v>
      </c>
      <c r="G66">
        <f>D66-F66</f>
        <v/>
      </c>
    </row>
    <row r="67">
      <c r="A67" t="inlineStr">
        <is>
          <t>Gamma</t>
        </is>
      </c>
      <c r="B67" t="inlineStr">
        <is>
          <t>INV-GA-2</t>
        </is>
      </c>
      <c r="C67" t="inlineStr">
        <is>
          <t>Jun</t>
        </is>
      </c>
      <c r="D67" t="n">
        <v>192389</v>
      </c>
      <c r="E67" t="n">
        <v>0.9911</v>
      </c>
      <c r="F67" t="n">
        <v>2163</v>
      </c>
      <c r="G67">
        <f>D67-F67</f>
        <v/>
      </c>
    </row>
    <row r="68">
      <c r="A68" t="inlineStr">
        <is>
          <t>Gamma</t>
        </is>
      </c>
      <c r="B68" t="inlineStr">
        <is>
          <t>INV-GA-2</t>
        </is>
      </c>
      <c r="C68" t="inlineStr">
        <is>
          <t>Jul</t>
        </is>
      </c>
      <c r="D68" t="n">
        <v>128142</v>
      </c>
      <c r="E68" t="n">
        <v>0.994</v>
      </c>
      <c r="F68" t="n">
        <v>372</v>
      </c>
      <c r="G68">
        <f>D68-F68</f>
        <v/>
      </c>
    </row>
    <row r="69">
      <c r="A69" t="inlineStr">
        <is>
          <t>Gamma</t>
        </is>
      </c>
      <c r="B69" t="inlineStr">
        <is>
          <t>INV-GA-2</t>
        </is>
      </c>
      <c r="C69" t="inlineStr">
        <is>
          <t>Aug</t>
        </is>
      </c>
      <c r="D69" t="n">
        <v>118449</v>
      </c>
      <c r="E69" t="n">
        <v>0.9733000000000001</v>
      </c>
      <c r="F69" t="n">
        <v>684</v>
      </c>
      <c r="G69">
        <f>D69-F69</f>
        <v/>
      </c>
    </row>
    <row r="70">
      <c r="A70" t="inlineStr">
        <is>
          <t>Gamma</t>
        </is>
      </c>
      <c r="B70" t="inlineStr">
        <is>
          <t>INV-GA-2</t>
        </is>
      </c>
      <c r="C70" t="inlineStr">
        <is>
          <t>Sep</t>
        </is>
      </c>
      <c r="D70" t="n">
        <v>143243</v>
      </c>
      <c r="E70" t="n">
        <v>0.9847</v>
      </c>
      <c r="F70" t="n">
        <v>2181</v>
      </c>
      <c r="G70">
        <f>D70-F70</f>
        <v/>
      </c>
    </row>
    <row r="71">
      <c r="A71" t="inlineStr">
        <is>
          <t>Gamma</t>
        </is>
      </c>
      <c r="B71" t="inlineStr">
        <is>
          <t>INV-GA-2</t>
        </is>
      </c>
      <c r="C71" t="inlineStr">
        <is>
          <t>Oct</t>
        </is>
      </c>
      <c r="D71" t="n">
        <v>191968</v>
      </c>
      <c r="E71" t="n">
        <v>0.9851</v>
      </c>
      <c r="F71" t="n">
        <v>1350</v>
      </c>
      <c r="G71">
        <f>D71-F71</f>
        <v/>
      </c>
    </row>
    <row r="72">
      <c r="A72" t="inlineStr">
        <is>
          <t>Gamma</t>
        </is>
      </c>
      <c r="B72" t="inlineStr">
        <is>
          <t>INV-GA-2</t>
        </is>
      </c>
      <c r="C72" t="inlineStr">
        <is>
          <t>Nov</t>
        </is>
      </c>
      <c r="D72" t="n">
        <v>108469</v>
      </c>
      <c r="E72" t="n">
        <v>0.9776</v>
      </c>
      <c r="F72" t="n">
        <v>799</v>
      </c>
      <c r="G72">
        <f>D72-F72</f>
        <v/>
      </c>
    </row>
    <row r="73">
      <c r="A73" t="inlineStr">
        <is>
          <t>Gamma</t>
        </is>
      </c>
      <c r="B73" t="inlineStr">
        <is>
          <t>INV-GA-2</t>
        </is>
      </c>
      <c r="C73" t="inlineStr">
        <is>
          <t>Dec</t>
        </is>
      </c>
      <c r="D73" t="n">
        <v>112754</v>
      </c>
      <c r="E73" t="n">
        <v>0.9868</v>
      </c>
      <c r="F73" t="n">
        <v>928</v>
      </c>
      <c r="G73">
        <f>D73-F73</f>
        <v/>
      </c>
    </row>
    <row r="74">
      <c r="A74" t="inlineStr">
        <is>
          <t>Delta</t>
        </is>
      </c>
      <c r="B74" t="inlineStr">
        <is>
          <t>INV-DE-1</t>
        </is>
      </c>
      <c r="C74" t="inlineStr">
        <is>
          <t>Jan</t>
        </is>
      </c>
      <c r="D74" t="n">
        <v>102407</v>
      </c>
      <c r="E74" t="n">
        <v>0.9733000000000001</v>
      </c>
      <c r="F74" t="n">
        <v>1456</v>
      </c>
      <c r="G74">
        <f>D74-F74</f>
        <v/>
      </c>
    </row>
    <row r="75">
      <c r="A75" t="inlineStr">
        <is>
          <t>Delta</t>
        </is>
      </c>
      <c r="B75" t="inlineStr">
        <is>
          <t>INV-DE-1</t>
        </is>
      </c>
      <c r="C75" t="inlineStr">
        <is>
          <t>Feb</t>
        </is>
      </c>
      <c r="D75" t="n">
        <v>57596</v>
      </c>
      <c r="E75" t="n">
        <v>0.9945000000000001</v>
      </c>
      <c r="F75" t="n">
        <v>1144</v>
      </c>
      <c r="G75">
        <f>D75-F75</f>
        <v/>
      </c>
    </row>
    <row r="76">
      <c r="A76" t="inlineStr">
        <is>
          <t>Delta</t>
        </is>
      </c>
      <c r="B76" t="inlineStr">
        <is>
          <t>INV-DE-1</t>
        </is>
      </c>
      <c r="C76" t="inlineStr">
        <is>
          <t>Mar</t>
        </is>
      </c>
      <c r="D76" t="n">
        <v>173794</v>
      </c>
      <c r="E76" t="n">
        <v>0.9617</v>
      </c>
      <c r="F76" t="n">
        <v>2836</v>
      </c>
      <c r="G76">
        <f>D76-F76</f>
        <v/>
      </c>
    </row>
    <row r="77">
      <c r="A77" t="inlineStr">
        <is>
          <t>Delta</t>
        </is>
      </c>
      <c r="B77" t="inlineStr">
        <is>
          <t>INV-DE-1</t>
        </is>
      </c>
      <c r="C77" t="inlineStr">
        <is>
          <t>Apr</t>
        </is>
      </c>
      <c r="D77" t="n">
        <v>140251</v>
      </c>
      <c r="E77" t="n">
        <v>0.9701</v>
      </c>
      <c r="F77" t="n">
        <v>2961</v>
      </c>
      <c r="G77">
        <f>D77-F77</f>
        <v/>
      </c>
    </row>
    <row r="78">
      <c r="A78" t="inlineStr">
        <is>
          <t>Delta</t>
        </is>
      </c>
      <c r="B78" t="inlineStr">
        <is>
          <t>INV-DE-1</t>
        </is>
      </c>
      <c r="C78" t="inlineStr">
        <is>
          <t>May</t>
        </is>
      </c>
      <c r="D78" t="n">
        <v>141624</v>
      </c>
      <c r="E78" t="n">
        <v>0.993</v>
      </c>
      <c r="F78" t="n">
        <v>1493</v>
      </c>
      <c r="G78">
        <f>D78-F78</f>
        <v/>
      </c>
    </row>
    <row r="79">
      <c r="A79" t="inlineStr">
        <is>
          <t>Delta</t>
        </is>
      </c>
      <c r="B79" t="inlineStr">
        <is>
          <t>INV-DE-1</t>
        </is>
      </c>
      <c r="C79" t="inlineStr">
        <is>
          <t>Jun</t>
        </is>
      </c>
      <c r="D79" t="n">
        <v>71112</v>
      </c>
      <c r="E79" t="n">
        <v>0.9599</v>
      </c>
      <c r="F79" t="n">
        <v>929</v>
      </c>
      <c r="G79">
        <f>D79-F79</f>
        <v/>
      </c>
    </row>
    <row r="80">
      <c r="A80" t="inlineStr">
        <is>
          <t>Delta</t>
        </is>
      </c>
      <c r="B80" t="inlineStr">
        <is>
          <t>INV-DE-1</t>
        </is>
      </c>
      <c r="C80" t="inlineStr">
        <is>
          <t>Jul</t>
        </is>
      </c>
      <c r="D80" t="n">
        <v>173228</v>
      </c>
      <c r="E80" t="n">
        <v>0.9589</v>
      </c>
      <c r="F80" t="n">
        <v>837</v>
      </c>
      <c r="G80">
        <f>D80-F80</f>
        <v/>
      </c>
    </row>
    <row r="81">
      <c r="A81" t="inlineStr">
        <is>
          <t>Delta</t>
        </is>
      </c>
      <c r="B81" t="inlineStr">
        <is>
          <t>INV-DE-1</t>
        </is>
      </c>
      <c r="C81" t="inlineStr">
        <is>
          <t>Aug</t>
        </is>
      </c>
      <c r="D81" t="n">
        <v>176524</v>
      </c>
      <c r="E81" t="n">
        <v>0.9781</v>
      </c>
      <c r="F81" t="n">
        <v>2499</v>
      </c>
      <c r="G81">
        <f>D81-F81</f>
        <v/>
      </c>
    </row>
    <row r="82">
      <c r="A82" t="inlineStr">
        <is>
          <t>Delta</t>
        </is>
      </c>
      <c r="B82" t="inlineStr">
        <is>
          <t>INV-DE-1</t>
        </is>
      </c>
      <c r="C82" t="inlineStr">
        <is>
          <t>Sep</t>
        </is>
      </c>
      <c r="D82" t="n">
        <v>50500</v>
      </c>
      <c r="E82" t="n">
        <v>0.9716</v>
      </c>
      <c r="F82" t="n">
        <v>2674</v>
      </c>
      <c r="G82">
        <f>D82-F82</f>
        <v/>
      </c>
    </row>
    <row r="83">
      <c r="A83" t="inlineStr">
        <is>
          <t>Delta</t>
        </is>
      </c>
      <c r="B83" t="inlineStr">
        <is>
          <t>INV-DE-1</t>
        </is>
      </c>
      <c r="C83" t="inlineStr">
        <is>
          <t>Oct</t>
        </is>
      </c>
      <c r="D83" t="n">
        <v>140179</v>
      </c>
      <c r="E83" t="n">
        <v>0.986</v>
      </c>
      <c r="F83" t="n">
        <v>347</v>
      </c>
      <c r="G83">
        <f>D83-F83</f>
        <v/>
      </c>
    </row>
    <row r="84">
      <c r="A84" t="inlineStr">
        <is>
          <t>Delta</t>
        </is>
      </c>
      <c r="B84" t="inlineStr">
        <is>
          <t>INV-DE-1</t>
        </is>
      </c>
      <c r="C84" t="inlineStr">
        <is>
          <t>Nov</t>
        </is>
      </c>
      <c r="D84" t="n">
        <v>81432</v>
      </c>
      <c r="E84" t="n">
        <v>0.9909</v>
      </c>
      <c r="F84" t="n">
        <v>2914</v>
      </c>
      <c r="G84">
        <f>D84-F84</f>
        <v/>
      </c>
    </row>
    <row r="85">
      <c r="A85" t="inlineStr">
        <is>
          <t>Delta</t>
        </is>
      </c>
      <c r="B85" t="inlineStr">
        <is>
          <t>INV-DE-1</t>
        </is>
      </c>
      <c r="C85" t="inlineStr">
        <is>
          <t>Dec</t>
        </is>
      </c>
      <c r="D85" t="n">
        <v>102250</v>
      </c>
      <c r="E85" t="n">
        <v>0.9715</v>
      </c>
      <c r="F85" t="n">
        <v>731</v>
      </c>
      <c r="G85">
        <f>D85-F85</f>
        <v/>
      </c>
    </row>
    <row r="86">
      <c r="A86" t="inlineStr">
        <is>
          <t>Delta</t>
        </is>
      </c>
      <c r="B86" t="inlineStr">
        <is>
          <t>INV-DE-2</t>
        </is>
      </c>
      <c r="C86" t="inlineStr">
        <is>
          <t>Jan</t>
        </is>
      </c>
      <c r="D86" t="n">
        <v>163750</v>
      </c>
      <c r="E86" t="n">
        <v>0.9855</v>
      </c>
      <c r="F86" t="n">
        <v>1361</v>
      </c>
      <c r="G86">
        <f>D86-F86</f>
        <v/>
      </c>
    </row>
    <row r="87">
      <c r="A87" t="inlineStr">
        <is>
          <t>Delta</t>
        </is>
      </c>
      <c r="B87" t="inlineStr">
        <is>
          <t>INV-DE-2</t>
        </is>
      </c>
      <c r="C87" t="inlineStr">
        <is>
          <t>Feb</t>
        </is>
      </c>
      <c r="D87" t="n">
        <v>72740</v>
      </c>
      <c r="E87" t="n">
        <v>0.986</v>
      </c>
      <c r="F87" t="n">
        <v>2956</v>
      </c>
      <c r="G87">
        <f>D87-F87</f>
        <v/>
      </c>
    </row>
    <row r="88">
      <c r="A88" t="inlineStr">
        <is>
          <t>Delta</t>
        </is>
      </c>
      <c r="B88" t="inlineStr">
        <is>
          <t>INV-DE-2</t>
        </is>
      </c>
      <c r="C88" t="inlineStr">
        <is>
          <t>Mar</t>
        </is>
      </c>
      <c r="D88" t="n">
        <v>153766</v>
      </c>
      <c r="E88" t="n">
        <v>0.9708</v>
      </c>
      <c r="F88" t="n">
        <v>347</v>
      </c>
      <c r="G88">
        <f>D88-F88</f>
        <v/>
      </c>
    </row>
    <row r="89">
      <c r="A89" t="inlineStr">
        <is>
          <t>Delta</t>
        </is>
      </c>
      <c r="B89" t="inlineStr">
        <is>
          <t>INV-DE-2</t>
        </is>
      </c>
      <c r="C89" t="inlineStr">
        <is>
          <t>Apr</t>
        </is>
      </c>
      <c r="D89" t="n">
        <v>91643</v>
      </c>
      <c r="E89" t="n">
        <v>0.9577</v>
      </c>
      <c r="F89" t="n">
        <v>520</v>
      </c>
      <c r="G89">
        <f>D89-F89</f>
        <v/>
      </c>
    </row>
    <row r="90">
      <c r="A90" t="inlineStr">
        <is>
          <t>Delta</t>
        </is>
      </c>
      <c r="B90" t="inlineStr">
        <is>
          <t>INV-DE-2</t>
        </is>
      </c>
      <c r="C90" t="inlineStr">
        <is>
          <t>May</t>
        </is>
      </c>
      <c r="D90" t="n">
        <v>57221</v>
      </c>
      <c r="E90" t="n">
        <v>0.9568</v>
      </c>
      <c r="F90" t="n">
        <v>1906</v>
      </c>
      <c r="G90">
        <f>D90-F90</f>
        <v/>
      </c>
    </row>
    <row r="91">
      <c r="A91" t="inlineStr">
        <is>
          <t>Delta</t>
        </is>
      </c>
      <c r="B91" t="inlineStr">
        <is>
          <t>INV-DE-2</t>
        </is>
      </c>
      <c r="C91" t="inlineStr">
        <is>
          <t>Jun</t>
        </is>
      </c>
      <c r="D91" t="n">
        <v>88318</v>
      </c>
      <c r="E91" t="n">
        <v>0.9775</v>
      </c>
      <c r="F91" t="n">
        <v>2440</v>
      </c>
      <c r="G91">
        <f>D91-F91</f>
        <v/>
      </c>
    </row>
    <row r="92">
      <c r="A92" t="inlineStr">
        <is>
          <t>Delta</t>
        </is>
      </c>
      <c r="B92" t="inlineStr">
        <is>
          <t>INV-DE-2</t>
        </is>
      </c>
      <c r="C92" t="inlineStr">
        <is>
          <t>Jul</t>
        </is>
      </c>
      <c r="D92" t="n">
        <v>174349</v>
      </c>
      <c r="E92" t="n">
        <v>0.9796</v>
      </c>
      <c r="F92" t="n">
        <v>1435</v>
      </c>
      <c r="G92">
        <f>D92-F92</f>
        <v/>
      </c>
    </row>
    <row r="93">
      <c r="A93" t="inlineStr">
        <is>
          <t>Delta</t>
        </is>
      </c>
      <c r="B93" t="inlineStr">
        <is>
          <t>INV-DE-2</t>
        </is>
      </c>
      <c r="C93" t="inlineStr">
        <is>
          <t>Aug</t>
        </is>
      </c>
      <c r="D93" t="n">
        <v>90871</v>
      </c>
      <c r="E93" t="n">
        <v>0.9747</v>
      </c>
      <c r="F93" t="n">
        <v>536</v>
      </c>
      <c r="G93">
        <f>D93-F93</f>
        <v/>
      </c>
    </row>
    <row r="94">
      <c r="A94" t="inlineStr">
        <is>
          <t>Delta</t>
        </is>
      </c>
      <c r="B94" t="inlineStr">
        <is>
          <t>INV-DE-2</t>
        </is>
      </c>
      <c r="C94" t="inlineStr">
        <is>
          <t>Sep</t>
        </is>
      </c>
      <c r="D94" t="n">
        <v>55609</v>
      </c>
      <c r="E94" t="n">
        <v>0.9506</v>
      </c>
      <c r="F94" t="n">
        <v>2975</v>
      </c>
      <c r="G94">
        <f>D94-F94</f>
        <v/>
      </c>
    </row>
    <row r="95">
      <c r="A95" t="inlineStr">
        <is>
          <t>Delta</t>
        </is>
      </c>
      <c r="B95" t="inlineStr">
        <is>
          <t>INV-DE-2</t>
        </is>
      </c>
      <c r="C95" t="inlineStr">
        <is>
          <t>Oct</t>
        </is>
      </c>
      <c r="D95" t="n">
        <v>76941</v>
      </c>
      <c r="E95" t="n">
        <v>0.9737</v>
      </c>
      <c r="F95" t="n">
        <v>570</v>
      </c>
      <c r="G95">
        <f>D95-F95</f>
        <v/>
      </c>
    </row>
    <row r="96">
      <c r="A96" t="inlineStr">
        <is>
          <t>Delta</t>
        </is>
      </c>
      <c r="B96" t="inlineStr">
        <is>
          <t>INV-DE-2</t>
        </is>
      </c>
      <c r="C96" t="inlineStr">
        <is>
          <t>Nov</t>
        </is>
      </c>
      <c r="D96" t="n">
        <v>163720</v>
      </c>
      <c r="E96" t="n">
        <v>0.9944</v>
      </c>
      <c r="F96" t="n">
        <v>797</v>
      </c>
      <c r="G96">
        <f>D96-F96</f>
        <v/>
      </c>
    </row>
    <row r="97">
      <c r="A97" t="inlineStr">
        <is>
          <t>Delta</t>
        </is>
      </c>
      <c r="B97" t="inlineStr">
        <is>
          <t>INV-DE-2</t>
        </is>
      </c>
      <c r="C97" t="inlineStr">
        <is>
          <t>Dec</t>
        </is>
      </c>
      <c r="D97" t="n">
        <v>105323</v>
      </c>
      <c r="E97" t="n">
        <v>0.9513</v>
      </c>
      <c r="F97" t="n">
        <v>871</v>
      </c>
      <c r="G97">
        <f>D97-F97</f>
        <v/>
      </c>
    </row>
    <row r="98">
      <c r="A98" t="inlineStr">
        <is>
          <t>Epsilon</t>
        </is>
      </c>
      <c r="B98" t="inlineStr">
        <is>
          <t>INV-EP-1</t>
        </is>
      </c>
      <c r="C98" t="inlineStr">
        <is>
          <t>Jan</t>
        </is>
      </c>
      <c r="D98" t="n">
        <v>126799</v>
      </c>
      <c r="E98" t="n">
        <v>0.9726</v>
      </c>
      <c r="F98" t="n">
        <v>2402</v>
      </c>
      <c r="G98">
        <f>D98-F98</f>
        <v/>
      </c>
    </row>
    <row r="99">
      <c r="A99" t="inlineStr">
        <is>
          <t>Epsilon</t>
        </is>
      </c>
      <c r="B99" t="inlineStr">
        <is>
          <t>INV-EP-1</t>
        </is>
      </c>
      <c r="C99" t="inlineStr">
        <is>
          <t>Feb</t>
        </is>
      </c>
      <c r="D99" t="n">
        <v>135456</v>
      </c>
      <c r="E99" t="n">
        <v>0.9617</v>
      </c>
      <c r="F99" t="n">
        <v>1716</v>
      </c>
      <c r="G99">
        <f>D99-F99</f>
        <v/>
      </c>
    </row>
    <row r="100">
      <c r="A100" t="inlineStr">
        <is>
          <t>Epsilon</t>
        </is>
      </c>
      <c r="B100" t="inlineStr">
        <is>
          <t>INV-EP-1</t>
        </is>
      </c>
      <c r="C100" t="inlineStr">
        <is>
          <t>Mar</t>
        </is>
      </c>
      <c r="D100" t="n">
        <v>84360</v>
      </c>
      <c r="E100" t="n">
        <v>0.9527</v>
      </c>
      <c r="F100" t="n">
        <v>1449</v>
      </c>
      <c r="G100">
        <f>D100-F100</f>
        <v/>
      </c>
    </row>
    <row r="101">
      <c r="A101" t="inlineStr">
        <is>
          <t>Epsilon</t>
        </is>
      </c>
      <c r="B101" t="inlineStr">
        <is>
          <t>INV-EP-1</t>
        </is>
      </c>
      <c r="C101" t="inlineStr">
        <is>
          <t>Apr</t>
        </is>
      </c>
      <c r="D101" t="n">
        <v>170104</v>
      </c>
      <c r="E101" t="n">
        <v>0.9798</v>
      </c>
      <c r="F101" t="n">
        <v>2116</v>
      </c>
      <c r="G101">
        <f>D101-F101</f>
        <v/>
      </c>
    </row>
    <row r="102">
      <c r="A102" t="inlineStr">
        <is>
          <t>Epsilon</t>
        </is>
      </c>
      <c r="B102" t="inlineStr">
        <is>
          <t>INV-EP-1</t>
        </is>
      </c>
      <c r="C102" t="inlineStr">
        <is>
          <t>May</t>
        </is>
      </c>
      <c r="D102" t="n">
        <v>160265</v>
      </c>
      <c r="E102" t="n">
        <v>0.9872</v>
      </c>
      <c r="F102" t="n">
        <v>2054</v>
      </c>
      <c r="G102">
        <f>D102-F102</f>
        <v/>
      </c>
    </row>
    <row r="103">
      <c r="A103" t="inlineStr">
        <is>
          <t>Epsilon</t>
        </is>
      </c>
      <c r="B103" t="inlineStr">
        <is>
          <t>INV-EP-1</t>
        </is>
      </c>
      <c r="C103" t="inlineStr">
        <is>
          <t>Jun</t>
        </is>
      </c>
      <c r="D103" t="n">
        <v>84278</v>
      </c>
      <c r="E103" t="n">
        <v>0.9739</v>
      </c>
      <c r="F103" t="n">
        <v>2144</v>
      </c>
      <c r="G103">
        <f>D103-F103</f>
        <v/>
      </c>
    </row>
    <row r="104">
      <c r="A104" t="inlineStr">
        <is>
          <t>Epsilon</t>
        </is>
      </c>
      <c r="B104" t="inlineStr">
        <is>
          <t>INV-EP-1</t>
        </is>
      </c>
      <c r="C104" t="inlineStr">
        <is>
          <t>Jul</t>
        </is>
      </c>
      <c r="D104" t="n">
        <v>183836</v>
      </c>
      <c r="E104" t="n">
        <v>0.9508</v>
      </c>
      <c r="F104" t="n">
        <v>1802</v>
      </c>
      <c r="G104">
        <f>D104-F104</f>
        <v/>
      </c>
    </row>
    <row r="105">
      <c r="A105" t="inlineStr">
        <is>
          <t>Epsilon</t>
        </is>
      </c>
      <c r="B105" t="inlineStr">
        <is>
          <t>INV-EP-1</t>
        </is>
      </c>
      <c r="C105" t="inlineStr">
        <is>
          <t>Aug</t>
        </is>
      </c>
      <c r="D105" t="n">
        <v>98000</v>
      </c>
      <c r="E105" t="n">
        <v>0.9774</v>
      </c>
      <c r="F105" t="n">
        <v>613</v>
      </c>
      <c r="G105">
        <f>D105-F105</f>
        <v/>
      </c>
    </row>
    <row r="106">
      <c r="A106" t="inlineStr">
        <is>
          <t>Epsilon</t>
        </is>
      </c>
      <c r="B106" t="inlineStr">
        <is>
          <t>INV-EP-1</t>
        </is>
      </c>
      <c r="C106" t="inlineStr">
        <is>
          <t>Sep</t>
        </is>
      </c>
      <c r="D106" t="n">
        <v>95179</v>
      </c>
      <c r="E106" t="n">
        <v>0.9564</v>
      </c>
      <c r="F106" t="n">
        <v>2535</v>
      </c>
      <c r="G106">
        <f>D106-F106</f>
        <v/>
      </c>
    </row>
    <row r="107">
      <c r="A107" t="inlineStr">
        <is>
          <t>Epsilon</t>
        </is>
      </c>
      <c r="B107" t="inlineStr">
        <is>
          <t>INV-EP-1</t>
        </is>
      </c>
      <c r="C107" t="inlineStr">
        <is>
          <t>Oct</t>
        </is>
      </c>
      <c r="D107" t="n">
        <v>81545</v>
      </c>
      <c r="E107" t="n">
        <v>0.975</v>
      </c>
      <c r="F107" t="n">
        <v>1335</v>
      </c>
      <c r="G107">
        <f>D107-F107</f>
        <v/>
      </c>
    </row>
    <row r="108">
      <c r="A108" t="inlineStr">
        <is>
          <t>Epsilon</t>
        </is>
      </c>
      <c r="B108" t="inlineStr">
        <is>
          <t>INV-EP-1</t>
        </is>
      </c>
      <c r="C108" t="inlineStr">
        <is>
          <t>Nov</t>
        </is>
      </c>
      <c r="D108" t="n">
        <v>185882</v>
      </c>
      <c r="E108" t="n">
        <v>0.9739</v>
      </c>
      <c r="F108" t="n">
        <v>1976</v>
      </c>
      <c r="G108">
        <f>D108-F108</f>
        <v/>
      </c>
    </row>
    <row r="109">
      <c r="A109" t="inlineStr">
        <is>
          <t>Epsilon</t>
        </is>
      </c>
      <c r="B109" t="inlineStr">
        <is>
          <t>INV-EP-1</t>
        </is>
      </c>
      <c r="C109" t="inlineStr">
        <is>
          <t>Dec</t>
        </is>
      </c>
      <c r="D109" t="n">
        <v>77815</v>
      </c>
      <c r="E109" t="n">
        <v>0.9897</v>
      </c>
      <c r="F109" t="n">
        <v>232</v>
      </c>
      <c r="G109">
        <f>D109-F109</f>
        <v/>
      </c>
    </row>
    <row r="110">
      <c r="A110" t="inlineStr">
        <is>
          <t>Epsilon</t>
        </is>
      </c>
      <c r="B110" t="inlineStr">
        <is>
          <t>INV-EP-2</t>
        </is>
      </c>
      <c r="C110" t="inlineStr">
        <is>
          <t>Jan</t>
        </is>
      </c>
      <c r="D110" t="n">
        <v>115141</v>
      </c>
      <c r="E110" t="n">
        <v>0.9586</v>
      </c>
      <c r="F110" t="n">
        <v>172</v>
      </c>
      <c r="G110">
        <f>D110-F110</f>
        <v/>
      </c>
    </row>
    <row r="111">
      <c r="A111" t="inlineStr">
        <is>
          <t>Epsilon</t>
        </is>
      </c>
      <c r="B111" t="inlineStr">
        <is>
          <t>INV-EP-2</t>
        </is>
      </c>
      <c r="C111" t="inlineStr">
        <is>
          <t>Feb</t>
        </is>
      </c>
      <c r="D111" t="n">
        <v>75623</v>
      </c>
      <c r="E111" t="n">
        <v>0.9728</v>
      </c>
      <c r="F111" t="n">
        <v>2300</v>
      </c>
      <c r="G111">
        <f>D111-F111</f>
        <v/>
      </c>
    </row>
    <row r="112">
      <c r="A112" t="inlineStr">
        <is>
          <t>Epsilon</t>
        </is>
      </c>
      <c r="B112" t="inlineStr">
        <is>
          <t>INV-EP-2</t>
        </is>
      </c>
      <c r="C112" t="inlineStr">
        <is>
          <t>Mar</t>
        </is>
      </c>
      <c r="D112" t="n">
        <v>57304</v>
      </c>
      <c r="E112" t="n">
        <v>0.9842</v>
      </c>
      <c r="F112" t="n">
        <v>259</v>
      </c>
      <c r="G112">
        <f>D112-F112</f>
        <v/>
      </c>
    </row>
    <row r="113">
      <c r="A113" t="inlineStr">
        <is>
          <t>Epsilon</t>
        </is>
      </c>
      <c r="B113" t="inlineStr">
        <is>
          <t>INV-EP-2</t>
        </is>
      </c>
      <c r="C113" t="inlineStr">
        <is>
          <t>Apr</t>
        </is>
      </c>
      <c r="D113" t="n">
        <v>166194</v>
      </c>
      <c r="E113" t="n">
        <v>0.9647</v>
      </c>
      <c r="F113" t="n">
        <v>2070</v>
      </c>
      <c r="G113">
        <f>D113-F113</f>
        <v/>
      </c>
    </row>
    <row r="114">
      <c r="A114" t="inlineStr">
        <is>
          <t>Epsilon</t>
        </is>
      </c>
      <c r="B114" t="inlineStr">
        <is>
          <t>INV-EP-2</t>
        </is>
      </c>
      <c r="C114" t="inlineStr">
        <is>
          <t>May</t>
        </is>
      </c>
      <c r="D114" t="n">
        <v>184260</v>
      </c>
      <c r="E114" t="n">
        <v>0.959</v>
      </c>
      <c r="F114" t="n">
        <v>1135</v>
      </c>
      <c r="G114">
        <f>D114-F114</f>
        <v/>
      </c>
    </row>
    <row r="115">
      <c r="A115" t="inlineStr">
        <is>
          <t>Epsilon</t>
        </is>
      </c>
      <c r="B115" t="inlineStr">
        <is>
          <t>INV-EP-2</t>
        </is>
      </c>
      <c r="C115" t="inlineStr">
        <is>
          <t>Jun</t>
        </is>
      </c>
      <c r="D115" t="n">
        <v>168579</v>
      </c>
      <c r="E115" t="n">
        <v>0.9729</v>
      </c>
      <c r="F115" t="n">
        <v>1958</v>
      </c>
      <c r="G115">
        <f>D115-F115</f>
        <v/>
      </c>
    </row>
    <row r="116">
      <c r="A116" t="inlineStr">
        <is>
          <t>Epsilon</t>
        </is>
      </c>
      <c r="B116" t="inlineStr">
        <is>
          <t>INV-EP-2</t>
        </is>
      </c>
      <c r="C116" t="inlineStr">
        <is>
          <t>Jul</t>
        </is>
      </c>
      <c r="D116" t="n">
        <v>183104</v>
      </c>
      <c r="E116" t="n">
        <v>0.9923999999999999</v>
      </c>
      <c r="F116" t="n">
        <v>2863</v>
      </c>
      <c r="G116">
        <f>D116-F116</f>
        <v/>
      </c>
    </row>
    <row r="117">
      <c r="A117" t="inlineStr">
        <is>
          <t>Epsilon</t>
        </is>
      </c>
      <c r="B117" t="inlineStr">
        <is>
          <t>INV-EP-2</t>
        </is>
      </c>
      <c r="C117" t="inlineStr">
        <is>
          <t>Aug</t>
        </is>
      </c>
      <c r="D117" t="n">
        <v>187156</v>
      </c>
      <c r="E117" t="n">
        <v>0.9893999999999999</v>
      </c>
      <c r="F117" t="n">
        <v>1063</v>
      </c>
      <c r="G117">
        <f>D117-F117</f>
        <v/>
      </c>
    </row>
    <row r="118">
      <c r="A118" t="inlineStr">
        <is>
          <t>Epsilon</t>
        </is>
      </c>
      <c r="B118" t="inlineStr">
        <is>
          <t>INV-EP-2</t>
        </is>
      </c>
      <c r="C118" t="inlineStr">
        <is>
          <t>Sep</t>
        </is>
      </c>
      <c r="D118" t="n">
        <v>196673</v>
      </c>
      <c r="E118" t="n">
        <v>0.9902</v>
      </c>
      <c r="F118" t="n">
        <v>829</v>
      </c>
      <c r="G118">
        <f>D118-F118</f>
        <v/>
      </c>
    </row>
    <row r="119">
      <c r="A119" t="inlineStr">
        <is>
          <t>Epsilon</t>
        </is>
      </c>
      <c r="B119" t="inlineStr">
        <is>
          <t>INV-EP-2</t>
        </is>
      </c>
      <c r="C119" t="inlineStr">
        <is>
          <t>Oct</t>
        </is>
      </c>
      <c r="D119" t="n">
        <v>167316</v>
      </c>
      <c r="E119" t="n">
        <v>0.9562</v>
      </c>
      <c r="F119" t="n">
        <v>498</v>
      </c>
      <c r="G119">
        <f>D119-F119</f>
        <v/>
      </c>
    </row>
    <row r="120">
      <c r="A120" t="inlineStr">
        <is>
          <t>Epsilon</t>
        </is>
      </c>
      <c r="B120" t="inlineStr">
        <is>
          <t>INV-EP-2</t>
        </is>
      </c>
      <c r="C120" t="inlineStr">
        <is>
          <t>Nov</t>
        </is>
      </c>
      <c r="D120" t="n">
        <v>152855</v>
      </c>
      <c r="E120" t="n">
        <v>0.9699</v>
      </c>
      <c r="F120" t="n">
        <v>297</v>
      </c>
      <c r="G120">
        <f>D120-F120</f>
        <v/>
      </c>
    </row>
    <row r="121">
      <c r="A121" t="inlineStr">
        <is>
          <t>Epsilon</t>
        </is>
      </c>
      <c r="B121" t="inlineStr">
        <is>
          <t>INV-EP-2</t>
        </is>
      </c>
      <c r="C121" t="inlineStr">
        <is>
          <t>Dec</t>
        </is>
      </c>
      <c r="D121" t="n">
        <v>113082</v>
      </c>
      <c r="E121" t="n">
        <v>0.9693000000000001</v>
      </c>
      <c r="F121" t="n">
        <v>871</v>
      </c>
      <c r="G121">
        <f>D121-F121</f>
        <v/>
      </c>
    </row>
    <row r="122">
      <c r="A122" t="inlineStr">
        <is>
          <t>Zeta</t>
        </is>
      </c>
      <c r="B122" t="inlineStr">
        <is>
          <t>INV-ZE-1</t>
        </is>
      </c>
      <c r="C122" t="inlineStr">
        <is>
          <t>Jan</t>
        </is>
      </c>
      <c r="D122" t="n">
        <v>129371</v>
      </c>
      <c r="E122" t="n">
        <v>0.9853</v>
      </c>
      <c r="F122" t="n">
        <v>632</v>
      </c>
      <c r="G122">
        <f>D122-F122</f>
        <v/>
      </c>
    </row>
    <row r="123">
      <c r="A123" t="inlineStr">
        <is>
          <t>Zeta</t>
        </is>
      </c>
      <c r="B123" t="inlineStr">
        <is>
          <t>INV-ZE-1</t>
        </is>
      </c>
      <c r="C123" t="inlineStr">
        <is>
          <t>Feb</t>
        </is>
      </c>
      <c r="D123" t="n">
        <v>145992</v>
      </c>
      <c r="E123" t="n">
        <v>0.9564</v>
      </c>
      <c r="F123" t="n">
        <v>562</v>
      </c>
      <c r="G123">
        <f>D123-F123</f>
        <v/>
      </c>
    </row>
    <row r="124">
      <c r="A124" t="inlineStr">
        <is>
          <t>Zeta</t>
        </is>
      </c>
      <c r="B124" t="inlineStr">
        <is>
          <t>INV-ZE-1</t>
        </is>
      </c>
      <c r="C124" t="inlineStr">
        <is>
          <t>Mar</t>
        </is>
      </c>
      <c r="D124" t="n">
        <v>172614</v>
      </c>
      <c r="E124" t="n">
        <v>0.9599</v>
      </c>
      <c r="F124" t="n">
        <v>385</v>
      </c>
      <c r="G124">
        <f>D124-F124</f>
        <v/>
      </c>
    </row>
    <row r="125">
      <c r="A125" t="inlineStr">
        <is>
          <t>Zeta</t>
        </is>
      </c>
      <c r="B125" t="inlineStr">
        <is>
          <t>INV-ZE-1</t>
        </is>
      </c>
      <c r="C125" t="inlineStr">
        <is>
          <t>Apr</t>
        </is>
      </c>
      <c r="D125" t="n">
        <v>154400</v>
      </c>
      <c r="E125" t="n">
        <v>0.9898</v>
      </c>
      <c r="F125" t="n">
        <v>666</v>
      </c>
      <c r="G125">
        <f>D125-F125</f>
        <v/>
      </c>
    </row>
    <row r="126">
      <c r="A126" t="inlineStr">
        <is>
          <t>Zeta</t>
        </is>
      </c>
      <c r="B126" t="inlineStr">
        <is>
          <t>INV-ZE-1</t>
        </is>
      </c>
      <c r="C126" t="inlineStr">
        <is>
          <t>May</t>
        </is>
      </c>
      <c r="D126" t="n">
        <v>108644</v>
      </c>
      <c r="E126" t="n">
        <v>0.9573</v>
      </c>
      <c r="F126" t="n">
        <v>1767</v>
      </c>
      <c r="G126">
        <f>D126-F126</f>
        <v/>
      </c>
    </row>
    <row r="127">
      <c r="A127" t="inlineStr">
        <is>
          <t>Zeta</t>
        </is>
      </c>
      <c r="B127" t="inlineStr">
        <is>
          <t>INV-ZE-1</t>
        </is>
      </c>
      <c r="C127" t="inlineStr">
        <is>
          <t>Jun</t>
        </is>
      </c>
      <c r="D127" t="n">
        <v>185162</v>
      </c>
      <c r="E127" t="n">
        <v>0.9681999999999999</v>
      </c>
      <c r="F127" t="n">
        <v>1725</v>
      </c>
      <c r="G127">
        <f>D127-F127</f>
        <v/>
      </c>
    </row>
    <row r="128">
      <c r="A128" t="inlineStr">
        <is>
          <t>Zeta</t>
        </is>
      </c>
      <c r="B128" t="inlineStr">
        <is>
          <t>INV-ZE-1</t>
        </is>
      </c>
      <c r="C128" t="inlineStr">
        <is>
          <t>Jul</t>
        </is>
      </c>
      <c r="D128" t="n">
        <v>101313</v>
      </c>
      <c r="E128" t="n">
        <v>0.966</v>
      </c>
      <c r="F128" t="n">
        <v>377</v>
      </c>
      <c r="G128">
        <f>D128-F128</f>
        <v/>
      </c>
    </row>
    <row r="129">
      <c r="A129" t="inlineStr">
        <is>
          <t>Zeta</t>
        </is>
      </c>
      <c r="B129" t="inlineStr">
        <is>
          <t>INV-ZE-1</t>
        </is>
      </c>
      <c r="C129" t="inlineStr">
        <is>
          <t>Aug</t>
        </is>
      </c>
      <c r="D129" t="n">
        <v>145932</v>
      </c>
      <c r="E129" t="n">
        <v>0.9509</v>
      </c>
      <c r="F129" t="n">
        <v>2269</v>
      </c>
      <c r="G129">
        <f>D129-F129</f>
        <v/>
      </c>
    </row>
    <row r="130">
      <c r="A130" t="inlineStr">
        <is>
          <t>Zeta</t>
        </is>
      </c>
      <c r="B130" t="inlineStr">
        <is>
          <t>INV-ZE-1</t>
        </is>
      </c>
      <c r="C130" t="inlineStr">
        <is>
          <t>Sep</t>
        </is>
      </c>
      <c r="D130" t="n">
        <v>170237</v>
      </c>
      <c r="E130" t="n">
        <v>0.9698</v>
      </c>
      <c r="F130" t="n">
        <v>74</v>
      </c>
      <c r="G130">
        <f>D130-F130</f>
        <v/>
      </c>
    </row>
    <row r="131">
      <c r="A131" t="inlineStr">
        <is>
          <t>Zeta</t>
        </is>
      </c>
      <c r="B131" t="inlineStr">
        <is>
          <t>INV-ZE-1</t>
        </is>
      </c>
      <c r="C131" t="inlineStr">
        <is>
          <t>Oct</t>
        </is>
      </c>
      <c r="D131" t="n">
        <v>150753</v>
      </c>
      <c r="E131" t="n">
        <v>0.9649</v>
      </c>
      <c r="F131" t="n">
        <v>2555</v>
      </c>
      <c r="G131">
        <f>D131-F131</f>
        <v/>
      </c>
    </row>
    <row r="132">
      <c r="A132" t="inlineStr">
        <is>
          <t>Zeta</t>
        </is>
      </c>
      <c r="B132" t="inlineStr">
        <is>
          <t>INV-ZE-1</t>
        </is>
      </c>
      <c r="C132" t="inlineStr">
        <is>
          <t>Nov</t>
        </is>
      </c>
      <c r="D132" t="n">
        <v>127451</v>
      </c>
      <c r="E132" t="n">
        <v>0.9731</v>
      </c>
      <c r="F132" t="n">
        <v>263</v>
      </c>
      <c r="G132">
        <f>D132-F132</f>
        <v/>
      </c>
    </row>
    <row r="133">
      <c r="A133" t="inlineStr">
        <is>
          <t>Zeta</t>
        </is>
      </c>
      <c r="B133" t="inlineStr">
        <is>
          <t>INV-ZE-1</t>
        </is>
      </c>
      <c r="C133" t="inlineStr">
        <is>
          <t>Dec</t>
        </is>
      </c>
      <c r="D133" t="n">
        <v>79582</v>
      </c>
      <c r="E133" t="n">
        <v>0.9943</v>
      </c>
      <c r="F133" t="n">
        <v>936</v>
      </c>
      <c r="G133">
        <f>D133-F133</f>
        <v/>
      </c>
    </row>
    <row r="134">
      <c r="A134" t="inlineStr">
        <is>
          <t>Zeta</t>
        </is>
      </c>
      <c r="B134" t="inlineStr">
        <is>
          <t>INV-ZE-2</t>
        </is>
      </c>
      <c r="C134" t="inlineStr">
        <is>
          <t>Jan</t>
        </is>
      </c>
      <c r="D134" t="n">
        <v>77467</v>
      </c>
      <c r="E134" t="n">
        <v>0.9538</v>
      </c>
      <c r="F134" t="n">
        <v>1113</v>
      </c>
      <c r="G134">
        <f>D134-F134</f>
        <v/>
      </c>
    </row>
    <row r="135">
      <c r="A135" t="inlineStr">
        <is>
          <t>Zeta</t>
        </is>
      </c>
      <c r="B135" t="inlineStr">
        <is>
          <t>INV-ZE-2</t>
        </is>
      </c>
      <c r="C135" t="inlineStr">
        <is>
          <t>Feb</t>
        </is>
      </c>
      <c r="D135" t="n">
        <v>60377</v>
      </c>
      <c r="E135" t="n">
        <v>0.9908</v>
      </c>
      <c r="F135" t="n">
        <v>743</v>
      </c>
      <c r="G135">
        <f>D135-F135</f>
        <v/>
      </c>
    </row>
    <row r="136">
      <c r="A136" t="inlineStr">
        <is>
          <t>Zeta</t>
        </is>
      </c>
      <c r="B136" t="inlineStr">
        <is>
          <t>INV-ZE-2</t>
        </is>
      </c>
      <c r="C136" t="inlineStr">
        <is>
          <t>Mar</t>
        </is>
      </c>
      <c r="D136" t="n">
        <v>120895</v>
      </c>
      <c r="E136" t="n">
        <v>0.984</v>
      </c>
      <c r="F136" t="n">
        <v>1729</v>
      </c>
      <c r="G136">
        <f>D136-F136</f>
        <v/>
      </c>
    </row>
    <row r="137">
      <c r="A137" t="inlineStr">
        <is>
          <t>Zeta</t>
        </is>
      </c>
      <c r="B137" t="inlineStr">
        <is>
          <t>INV-ZE-2</t>
        </is>
      </c>
      <c r="C137" t="inlineStr">
        <is>
          <t>Apr</t>
        </is>
      </c>
      <c r="D137" t="n">
        <v>117792</v>
      </c>
      <c r="E137" t="n">
        <v>0.9683</v>
      </c>
      <c r="F137" t="n">
        <v>2197</v>
      </c>
      <c r="G137">
        <f>D137-F137</f>
        <v/>
      </c>
    </row>
    <row r="138">
      <c r="A138" t="inlineStr">
        <is>
          <t>Zeta</t>
        </is>
      </c>
      <c r="B138" t="inlineStr">
        <is>
          <t>INV-ZE-2</t>
        </is>
      </c>
      <c r="C138" t="inlineStr">
        <is>
          <t>May</t>
        </is>
      </c>
      <c r="D138" t="n">
        <v>184947</v>
      </c>
      <c r="E138" t="n">
        <v>0.9757</v>
      </c>
      <c r="F138" t="n">
        <v>2868</v>
      </c>
      <c r="G138">
        <f>D138-F138</f>
        <v/>
      </c>
    </row>
    <row r="139">
      <c r="A139" t="inlineStr">
        <is>
          <t>Zeta</t>
        </is>
      </c>
      <c r="B139" t="inlineStr">
        <is>
          <t>INV-ZE-2</t>
        </is>
      </c>
      <c r="C139" t="inlineStr">
        <is>
          <t>Jun</t>
        </is>
      </c>
      <c r="D139" t="n">
        <v>135733</v>
      </c>
      <c r="E139" t="n">
        <v>0.954</v>
      </c>
      <c r="F139" t="n">
        <v>235</v>
      </c>
      <c r="G139">
        <f>D139-F139</f>
        <v/>
      </c>
    </row>
    <row r="140">
      <c r="A140" t="inlineStr">
        <is>
          <t>Zeta</t>
        </is>
      </c>
      <c r="B140" t="inlineStr">
        <is>
          <t>INV-ZE-2</t>
        </is>
      </c>
      <c r="C140" t="inlineStr">
        <is>
          <t>Jul</t>
        </is>
      </c>
      <c r="D140" t="n">
        <v>98062</v>
      </c>
      <c r="E140" t="n">
        <v>0.9691</v>
      </c>
      <c r="F140" t="n">
        <v>296</v>
      </c>
      <c r="G140">
        <f>D140-F140</f>
        <v/>
      </c>
    </row>
    <row r="141">
      <c r="A141" t="inlineStr">
        <is>
          <t>Zeta</t>
        </is>
      </c>
      <c r="B141" t="inlineStr">
        <is>
          <t>INV-ZE-2</t>
        </is>
      </c>
      <c r="C141" t="inlineStr">
        <is>
          <t>Aug</t>
        </is>
      </c>
      <c r="D141" t="n">
        <v>120496</v>
      </c>
      <c r="E141" t="n">
        <v>0.9922</v>
      </c>
      <c r="F141" t="n">
        <v>2598</v>
      </c>
      <c r="G141">
        <f>D141-F141</f>
        <v/>
      </c>
    </row>
    <row r="142">
      <c r="A142" t="inlineStr">
        <is>
          <t>Zeta</t>
        </is>
      </c>
      <c r="B142" t="inlineStr">
        <is>
          <t>INV-ZE-2</t>
        </is>
      </c>
      <c r="C142" t="inlineStr">
        <is>
          <t>Sep</t>
        </is>
      </c>
      <c r="D142" t="n">
        <v>73217</v>
      </c>
      <c r="E142" t="n">
        <v>0.9861</v>
      </c>
      <c r="F142" t="n">
        <v>343</v>
      </c>
      <c r="G142">
        <f>D142-F142</f>
        <v/>
      </c>
    </row>
    <row r="143">
      <c r="A143" t="inlineStr">
        <is>
          <t>Zeta</t>
        </is>
      </c>
      <c r="B143" t="inlineStr">
        <is>
          <t>INV-ZE-2</t>
        </is>
      </c>
      <c r="C143" t="inlineStr">
        <is>
          <t>Oct</t>
        </is>
      </c>
      <c r="D143" t="n">
        <v>108302</v>
      </c>
      <c r="E143" t="n">
        <v>0.953</v>
      </c>
      <c r="F143" t="n">
        <v>498</v>
      </c>
      <c r="G143">
        <f>D143-F143</f>
        <v/>
      </c>
    </row>
    <row r="144">
      <c r="A144" t="inlineStr">
        <is>
          <t>Zeta</t>
        </is>
      </c>
      <c r="B144" t="inlineStr">
        <is>
          <t>INV-ZE-2</t>
        </is>
      </c>
      <c r="C144" t="inlineStr">
        <is>
          <t>Nov</t>
        </is>
      </c>
      <c r="D144" t="n">
        <v>168954</v>
      </c>
      <c r="E144" t="n">
        <v>0.9505</v>
      </c>
      <c r="F144" t="n">
        <v>2265</v>
      </c>
      <c r="G144">
        <f>D144-F144</f>
        <v/>
      </c>
    </row>
    <row r="145">
      <c r="A145" t="inlineStr">
        <is>
          <t>Zeta</t>
        </is>
      </c>
      <c r="B145" t="inlineStr">
        <is>
          <t>INV-ZE-2</t>
        </is>
      </c>
      <c r="C145" t="inlineStr">
        <is>
          <t>Dec</t>
        </is>
      </c>
      <c r="D145" t="n">
        <v>159513</v>
      </c>
      <c r="E145" t="n">
        <v>0.9917</v>
      </c>
      <c r="F145" t="n">
        <v>1097</v>
      </c>
      <c r="G145">
        <f>D145-F145</f>
        <v/>
      </c>
    </row>
    <row r="146">
      <c r="A146" t="inlineStr">
        <is>
          <t>Eta</t>
        </is>
      </c>
      <c r="B146" t="inlineStr">
        <is>
          <t>INV-ET-1</t>
        </is>
      </c>
      <c r="C146" t="inlineStr">
        <is>
          <t>Jan</t>
        </is>
      </c>
      <c r="D146" t="n">
        <v>83875</v>
      </c>
      <c r="E146" t="n">
        <v>0.9519</v>
      </c>
      <c r="F146" t="n">
        <v>2906</v>
      </c>
      <c r="G146">
        <f>D146-F146</f>
        <v/>
      </c>
    </row>
    <row r="147">
      <c r="A147" t="inlineStr">
        <is>
          <t>Eta</t>
        </is>
      </c>
      <c r="B147" t="inlineStr">
        <is>
          <t>INV-ET-1</t>
        </is>
      </c>
      <c r="C147" t="inlineStr">
        <is>
          <t>Feb</t>
        </is>
      </c>
      <c r="D147" t="n">
        <v>112504</v>
      </c>
      <c r="E147" t="n">
        <v>0.9922</v>
      </c>
      <c r="F147" t="n">
        <v>661</v>
      </c>
      <c r="G147">
        <f>D147-F147</f>
        <v/>
      </c>
    </row>
    <row r="148">
      <c r="A148" t="inlineStr">
        <is>
          <t>Eta</t>
        </is>
      </c>
      <c r="B148" t="inlineStr">
        <is>
          <t>INV-ET-1</t>
        </is>
      </c>
      <c r="C148" t="inlineStr">
        <is>
          <t>Mar</t>
        </is>
      </c>
      <c r="D148" t="n">
        <v>118654</v>
      </c>
      <c r="E148" t="n">
        <v>0.9523</v>
      </c>
      <c r="F148" t="n">
        <v>826</v>
      </c>
      <c r="G148">
        <f>D148-F148</f>
        <v/>
      </c>
    </row>
    <row r="149">
      <c r="A149" t="inlineStr">
        <is>
          <t>Eta</t>
        </is>
      </c>
      <c r="B149" t="inlineStr">
        <is>
          <t>INV-ET-1</t>
        </is>
      </c>
      <c r="C149" t="inlineStr">
        <is>
          <t>Apr</t>
        </is>
      </c>
      <c r="D149" t="n">
        <v>131786</v>
      </c>
      <c r="E149" t="n">
        <v>0.9782999999999999</v>
      </c>
      <c r="F149" t="n">
        <v>2175</v>
      </c>
      <c r="G149">
        <f>D149-F149</f>
        <v/>
      </c>
    </row>
    <row r="150">
      <c r="A150" t="inlineStr">
        <is>
          <t>Eta</t>
        </is>
      </c>
      <c r="B150" t="inlineStr">
        <is>
          <t>INV-ET-1</t>
        </is>
      </c>
      <c r="C150" t="inlineStr">
        <is>
          <t>May</t>
        </is>
      </c>
      <c r="D150" t="n">
        <v>103967</v>
      </c>
      <c r="E150" t="n">
        <v>0.963</v>
      </c>
      <c r="F150" t="n">
        <v>2048</v>
      </c>
      <c r="G150">
        <f>D150-F150</f>
        <v/>
      </c>
    </row>
    <row r="151">
      <c r="A151" t="inlineStr">
        <is>
          <t>Eta</t>
        </is>
      </c>
      <c r="B151" t="inlineStr">
        <is>
          <t>INV-ET-1</t>
        </is>
      </c>
      <c r="C151" t="inlineStr">
        <is>
          <t>Jun</t>
        </is>
      </c>
      <c r="D151" t="n">
        <v>96635</v>
      </c>
      <c r="E151" t="n">
        <v>0.9622000000000001</v>
      </c>
      <c r="F151" t="n">
        <v>74</v>
      </c>
      <c r="G151">
        <f>D151-F151</f>
        <v/>
      </c>
    </row>
    <row r="152">
      <c r="A152" t="inlineStr">
        <is>
          <t>Eta</t>
        </is>
      </c>
      <c r="B152" t="inlineStr">
        <is>
          <t>INV-ET-1</t>
        </is>
      </c>
      <c r="C152" t="inlineStr">
        <is>
          <t>Jul</t>
        </is>
      </c>
      <c r="D152" t="n">
        <v>115653</v>
      </c>
      <c r="E152" t="n">
        <v>0.9517</v>
      </c>
      <c r="F152" t="n">
        <v>75</v>
      </c>
      <c r="G152">
        <f>D152-F152</f>
        <v/>
      </c>
    </row>
    <row r="153">
      <c r="A153" t="inlineStr">
        <is>
          <t>Eta</t>
        </is>
      </c>
      <c r="B153" t="inlineStr">
        <is>
          <t>INV-ET-1</t>
        </is>
      </c>
      <c r="C153" t="inlineStr">
        <is>
          <t>Aug</t>
        </is>
      </c>
      <c r="D153" t="n">
        <v>182554</v>
      </c>
      <c r="E153" t="n">
        <v>0.9748</v>
      </c>
      <c r="F153" t="n">
        <v>776</v>
      </c>
      <c r="G153">
        <f>D153-F153</f>
        <v/>
      </c>
    </row>
    <row r="154">
      <c r="A154" t="inlineStr">
        <is>
          <t>Eta</t>
        </is>
      </c>
      <c r="B154" t="inlineStr">
        <is>
          <t>INV-ET-1</t>
        </is>
      </c>
      <c r="C154" t="inlineStr">
        <is>
          <t>Sep</t>
        </is>
      </c>
      <c r="D154" t="n">
        <v>184803</v>
      </c>
      <c r="E154" t="n">
        <v>0.9714</v>
      </c>
      <c r="F154" t="n">
        <v>1831</v>
      </c>
      <c r="G154">
        <f>D154-F154</f>
        <v/>
      </c>
    </row>
    <row r="155">
      <c r="A155" t="inlineStr">
        <is>
          <t>Eta</t>
        </is>
      </c>
      <c r="B155" t="inlineStr">
        <is>
          <t>INV-ET-1</t>
        </is>
      </c>
      <c r="C155" t="inlineStr">
        <is>
          <t>Oct</t>
        </is>
      </c>
      <c r="D155" t="n">
        <v>77861</v>
      </c>
      <c r="E155" t="n">
        <v>0.9796</v>
      </c>
      <c r="F155" t="n">
        <v>2662</v>
      </c>
      <c r="G155">
        <f>D155-F155</f>
        <v/>
      </c>
    </row>
    <row r="156">
      <c r="A156" t="inlineStr">
        <is>
          <t>Eta</t>
        </is>
      </c>
      <c r="B156" t="inlineStr">
        <is>
          <t>INV-ET-1</t>
        </is>
      </c>
      <c r="C156" t="inlineStr">
        <is>
          <t>Nov</t>
        </is>
      </c>
      <c r="D156" t="n">
        <v>163292</v>
      </c>
      <c r="E156" t="n">
        <v>0.9795</v>
      </c>
      <c r="F156" t="n">
        <v>2236</v>
      </c>
      <c r="G156">
        <f>D156-F156</f>
        <v/>
      </c>
    </row>
    <row r="157">
      <c r="A157" t="inlineStr">
        <is>
          <t>Eta</t>
        </is>
      </c>
      <c r="B157" t="inlineStr">
        <is>
          <t>INV-ET-1</t>
        </is>
      </c>
      <c r="C157" t="inlineStr">
        <is>
          <t>Dec</t>
        </is>
      </c>
      <c r="D157" t="n">
        <v>153045</v>
      </c>
      <c r="E157" t="n">
        <v>0.9937</v>
      </c>
      <c r="F157" t="n">
        <v>1260</v>
      </c>
      <c r="G157">
        <f>D157-F157</f>
        <v/>
      </c>
    </row>
    <row r="158">
      <c r="A158" t="inlineStr">
        <is>
          <t>Eta</t>
        </is>
      </c>
      <c r="B158" t="inlineStr">
        <is>
          <t>INV-ET-2</t>
        </is>
      </c>
      <c r="C158" t="inlineStr">
        <is>
          <t>Jan</t>
        </is>
      </c>
      <c r="D158" t="n">
        <v>106408</v>
      </c>
      <c r="E158" t="n">
        <v>0.9942</v>
      </c>
      <c r="F158" t="n">
        <v>1403</v>
      </c>
      <c r="G158">
        <f>D158-F158</f>
        <v/>
      </c>
    </row>
    <row r="159">
      <c r="A159" t="inlineStr">
        <is>
          <t>Eta</t>
        </is>
      </c>
      <c r="B159" t="inlineStr">
        <is>
          <t>INV-ET-2</t>
        </is>
      </c>
      <c r="C159" t="inlineStr">
        <is>
          <t>Feb</t>
        </is>
      </c>
      <c r="D159" t="n">
        <v>102068</v>
      </c>
      <c r="E159" t="n">
        <v>0.9875</v>
      </c>
      <c r="F159" t="n">
        <v>2894</v>
      </c>
      <c r="G159">
        <f>D159-F159</f>
        <v/>
      </c>
    </row>
    <row r="160">
      <c r="A160" t="inlineStr">
        <is>
          <t>Eta</t>
        </is>
      </c>
      <c r="B160" t="inlineStr">
        <is>
          <t>INV-ET-2</t>
        </is>
      </c>
      <c r="C160" t="inlineStr">
        <is>
          <t>Mar</t>
        </is>
      </c>
      <c r="D160" t="n">
        <v>86626</v>
      </c>
      <c r="E160" t="n">
        <v>0.9681999999999999</v>
      </c>
      <c r="F160" t="n">
        <v>1423</v>
      </c>
      <c r="G160">
        <f>D160-F160</f>
        <v/>
      </c>
    </row>
    <row r="161">
      <c r="A161" t="inlineStr">
        <is>
          <t>Eta</t>
        </is>
      </c>
      <c r="B161" t="inlineStr">
        <is>
          <t>INV-ET-2</t>
        </is>
      </c>
      <c r="C161" t="inlineStr">
        <is>
          <t>Apr</t>
        </is>
      </c>
      <c r="D161" t="n">
        <v>64257</v>
      </c>
      <c r="E161" t="n">
        <v>0.9877</v>
      </c>
      <c r="F161" t="n">
        <v>58</v>
      </c>
      <c r="G161">
        <f>D161-F161</f>
        <v/>
      </c>
    </row>
    <row r="162">
      <c r="A162" t="inlineStr">
        <is>
          <t>Eta</t>
        </is>
      </c>
      <c r="B162" t="inlineStr">
        <is>
          <t>INV-ET-2</t>
        </is>
      </c>
      <c r="C162" t="inlineStr">
        <is>
          <t>May</t>
        </is>
      </c>
      <c r="D162" t="n">
        <v>68539</v>
      </c>
      <c r="E162" t="n">
        <v>0.9781</v>
      </c>
      <c r="F162" t="n">
        <v>1046</v>
      </c>
      <c r="G162">
        <f>D162-F162</f>
        <v/>
      </c>
    </row>
    <row r="163">
      <c r="A163" t="inlineStr">
        <is>
          <t>Eta</t>
        </is>
      </c>
      <c r="B163" t="inlineStr">
        <is>
          <t>INV-ET-2</t>
        </is>
      </c>
      <c r="C163" t="inlineStr">
        <is>
          <t>Jun</t>
        </is>
      </c>
      <c r="D163" t="n">
        <v>162916</v>
      </c>
      <c r="E163" t="n">
        <v>0.9573</v>
      </c>
      <c r="F163" t="n">
        <v>346</v>
      </c>
      <c r="G163">
        <f>D163-F163</f>
        <v/>
      </c>
    </row>
    <row r="164">
      <c r="A164" t="inlineStr">
        <is>
          <t>Eta</t>
        </is>
      </c>
      <c r="B164" t="inlineStr">
        <is>
          <t>INV-ET-2</t>
        </is>
      </c>
      <c r="C164" t="inlineStr">
        <is>
          <t>Jul</t>
        </is>
      </c>
      <c r="D164" t="n">
        <v>149845</v>
      </c>
      <c r="E164" t="n">
        <v>0.9892</v>
      </c>
      <c r="F164" t="n">
        <v>2746</v>
      </c>
      <c r="G164">
        <f>D164-F164</f>
        <v/>
      </c>
    </row>
    <row r="165">
      <c r="A165" t="inlineStr">
        <is>
          <t>Eta</t>
        </is>
      </c>
      <c r="B165" t="inlineStr">
        <is>
          <t>INV-ET-2</t>
        </is>
      </c>
      <c r="C165" t="inlineStr">
        <is>
          <t>Aug</t>
        </is>
      </c>
      <c r="D165" t="n">
        <v>123907</v>
      </c>
      <c r="E165" t="n">
        <v>0.9769</v>
      </c>
      <c r="F165" t="n">
        <v>2837</v>
      </c>
      <c r="G165">
        <f>D165-F165</f>
        <v/>
      </c>
    </row>
    <row r="166">
      <c r="A166" t="inlineStr">
        <is>
          <t>Eta</t>
        </is>
      </c>
      <c r="B166" t="inlineStr">
        <is>
          <t>INV-ET-2</t>
        </is>
      </c>
      <c r="C166" t="inlineStr">
        <is>
          <t>Sep</t>
        </is>
      </c>
      <c r="D166" t="n">
        <v>126823</v>
      </c>
      <c r="E166" t="n">
        <v>0.952</v>
      </c>
      <c r="F166" t="n">
        <v>759</v>
      </c>
      <c r="G166">
        <f>D166-F166</f>
        <v/>
      </c>
    </row>
    <row r="167">
      <c r="A167" t="inlineStr">
        <is>
          <t>Eta</t>
        </is>
      </c>
      <c r="B167" t="inlineStr">
        <is>
          <t>INV-ET-2</t>
        </is>
      </c>
      <c r="C167" t="inlineStr">
        <is>
          <t>Oct</t>
        </is>
      </c>
      <c r="D167" t="n">
        <v>91296</v>
      </c>
      <c r="E167" t="n">
        <v>0.9621</v>
      </c>
      <c r="F167" t="n">
        <v>14</v>
      </c>
      <c r="G167">
        <f>D167-F167</f>
        <v/>
      </c>
    </row>
    <row r="168">
      <c r="A168" t="inlineStr">
        <is>
          <t>Eta</t>
        </is>
      </c>
      <c r="B168" t="inlineStr">
        <is>
          <t>INV-ET-2</t>
        </is>
      </c>
      <c r="C168" t="inlineStr">
        <is>
          <t>Nov</t>
        </is>
      </c>
      <c r="D168" t="n">
        <v>119007</v>
      </c>
      <c r="E168" t="n">
        <v>0.9664</v>
      </c>
      <c r="F168" t="n">
        <v>1347</v>
      </c>
      <c r="G168">
        <f>D168-F168</f>
        <v/>
      </c>
    </row>
    <row r="169">
      <c r="A169" t="inlineStr">
        <is>
          <t>Eta</t>
        </is>
      </c>
      <c r="B169" t="inlineStr">
        <is>
          <t>INV-ET-2</t>
        </is>
      </c>
      <c r="C169" t="inlineStr">
        <is>
          <t>Dec</t>
        </is>
      </c>
      <c r="D169" t="n">
        <v>193412</v>
      </c>
      <c r="E169" t="n">
        <v>0.9646</v>
      </c>
      <c r="F169" t="n">
        <v>141</v>
      </c>
      <c r="G169">
        <f>D169-F169</f>
        <v/>
      </c>
    </row>
    <row r="170">
      <c r="A170" t="inlineStr">
        <is>
          <t>Theta</t>
        </is>
      </c>
      <c r="B170" t="inlineStr">
        <is>
          <t>INV-TH-1</t>
        </is>
      </c>
      <c r="C170" t="inlineStr">
        <is>
          <t>Jan</t>
        </is>
      </c>
      <c r="D170" t="n">
        <v>131146</v>
      </c>
      <c r="E170" t="n">
        <v>0.9598</v>
      </c>
      <c r="F170" t="n">
        <v>749</v>
      </c>
      <c r="G170">
        <f>D170-F170</f>
        <v/>
      </c>
    </row>
    <row r="171">
      <c r="A171" t="inlineStr">
        <is>
          <t>Theta</t>
        </is>
      </c>
      <c r="B171" t="inlineStr">
        <is>
          <t>INV-TH-1</t>
        </is>
      </c>
      <c r="C171" t="inlineStr">
        <is>
          <t>Feb</t>
        </is>
      </c>
      <c r="D171" t="n">
        <v>50280</v>
      </c>
      <c r="E171" t="n">
        <v>0.9651</v>
      </c>
      <c r="F171" t="n">
        <v>343</v>
      </c>
      <c r="G171">
        <f>D171-F171</f>
        <v/>
      </c>
    </row>
    <row r="172">
      <c r="A172" t="inlineStr">
        <is>
          <t>Theta</t>
        </is>
      </c>
      <c r="B172" t="inlineStr">
        <is>
          <t>INV-TH-1</t>
        </is>
      </c>
      <c r="C172" t="inlineStr">
        <is>
          <t>Mar</t>
        </is>
      </c>
      <c r="D172" t="n">
        <v>174424</v>
      </c>
      <c r="E172" t="n">
        <v>0.9626</v>
      </c>
      <c r="F172" t="n">
        <v>2687</v>
      </c>
      <c r="G172">
        <f>D172-F172</f>
        <v/>
      </c>
    </row>
    <row r="173">
      <c r="A173" t="inlineStr">
        <is>
          <t>Theta</t>
        </is>
      </c>
      <c r="B173" t="inlineStr">
        <is>
          <t>INV-TH-1</t>
        </is>
      </c>
      <c r="C173" t="inlineStr">
        <is>
          <t>Apr</t>
        </is>
      </c>
      <c r="D173" t="n">
        <v>102685</v>
      </c>
      <c r="E173" t="n">
        <v>0.9612000000000001</v>
      </c>
      <c r="F173" t="n">
        <v>20</v>
      </c>
      <c r="G173">
        <f>D173-F173</f>
        <v/>
      </c>
    </row>
    <row r="174">
      <c r="A174" t="inlineStr">
        <is>
          <t>Theta</t>
        </is>
      </c>
      <c r="B174" t="inlineStr">
        <is>
          <t>INV-TH-1</t>
        </is>
      </c>
      <c r="C174" t="inlineStr">
        <is>
          <t>May</t>
        </is>
      </c>
      <c r="D174" t="n">
        <v>73816</v>
      </c>
      <c r="E174" t="n">
        <v>0.9619</v>
      </c>
      <c r="F174" t="n">
        <v>367</v>
      </c>
      <c r="G174">
        <f>D174-F174</f>
        <v/>
      </c>
    </row>
    <row r="175">
      <c r="A175" t="inlineStr">
        <is>
          <t>Theta</t>
        </is>
      </c>
      <c r="B175" t="inlineStr">
        <is>
          <t>INV-TH-1</t>
        </is>
      </c>
      <c r="C175" t="inlineStr">
        <is>
          <t>Jun</t>
        </is>
      </c>
      <c r="D175" t="n">
        <v>87713</v>
      </c>
      <c r="E175" t="n">
        <v>0.968</v>
      </c>
      <c r="F175" t="n">
        <v>170</v>
      </c>
      <c r="G175">
        <f>D175-F175</f>
        <v/>
      </c>
    </row>
    <row r="176">
      <c r="A176" t="inlineStr">
        <is>
          <t>Theta</t>
        </is>
      </c>
      <c r="B176" t="inlineStr">
        <is>
          <t>INV-TH-1</t>
        </is>
      </c>
      <c r="C176" t="inlineStr">
        <is>
          <t>Jul</t>
        </is>
      </c>
      <c r="D176" t="n">
        <v>153279</v>
      </c>
      <c r="E176" t="n">
        <v>0.951</v>
      </c>
      <c r="F176" t="n">
        <v>1246</v>
      </c>
      <c r="G176">
        <f>D176-F176</f>
        <v/>
      </c>
    </row>
    <row r="177">
      <c r="A177" t="inlineStr">
        <is>
          <t>Theta</t>
        </is>
      </c>
      <c r="B177" t="inlineStr">
        <is>
          <t>INV-TH-1</t>
        </is>
      </c>
      <c r="C177" t="inlineStr">
        <is>
          <t>Aug</t>
        </is>
      </c>
      <c r="D177" t="n">
        <v>111029</v>
      </c>
      <c r="E177" t="n">
        <v>0.9538</v>
      </c>
      <c r="F177" t="n">
        <v>2167</v>
      </c>
      <c r="G177">
        <f>D177-F177</f>
        <v/>
      </c>
    </row>
    <row r="178">
      <c r="A178" t="inlineStr">
        <is>
          <t>Theta</t>
        </is>
      </c>
      <c r="B178" t="inlineStr">
        <is>
          <t>INV-TH-1</t>
        </is>
      </c>
      <c r="C178" t="inlineStr">
        <is>
          <t>Sep</t>
        </is>
      </c>
      <c r="D178" t="n">
        <v>90698</v>
      </c>
      <c r="E178" t="n">
        <v>0.9796</v>
      </c>
      <c r="F178" t="n">
        <v>2932</v>
      </c>
      <c r="G178">
        <f>D178-F178</f>
        <v/>
      </c>
    </row>
    <row r="179">
      <c r="A179" t="inlineStr">
        <is>
          <t>Theta</t>
        </is>
      </c>
      <c r="B179" t="inlineStr">
        <is>
          <t>INV-TH-1</t>
        </is>
      </c>
      <c r="C179" t="inlineStr">
        <is>
          <t>Oct</t>
        </is>
      </c>
      <c r="D179" t="n">
        <v>152109</v>
      </c>
      <c r="E179" t="n">
        <v>0.9844000000000001</v>
      </c>
      <c r="F179" t="n">
        <v>2951</v>
      </c>
      <c r="G179">
        <f>D179-F179</f>
        <v/>
      </c>
    </row>
    <row r="180">
      <c r="A180" t="inlineStr">
        <is>
          <t>Theta</t>
        </is>
      </c>
      <c r="B180" t="inlineStr">
        <is>
          <t>INV-TH-1</t>
        </is>
      </c>
      <c r="C180" t="inlineStr">
        <is>
          <t>Nov</t>
        </is>
      </c>
      <c r="D180" t="n">
        <v>179549</v>
      </c>
      <c r="E180" t="n">
        <v>0.9567</v>
      </c>
      <c r="F180" t="n">
        <v>2966</v>
      </c>
      <c r="G180">
        <f>D180-F180</f>
        <v/>
      </c>
    </row>
    <row r="181">
      <c r="A181" t="inlineStr">
        <is>
          <t>Theta</t>
        </is>
      </c>
      <c r="B181" t="inlineStr">
        <is>
          <t>INV-TH-1</t>
        </is>
      </c>
      <c r="C181" t="inlineStr">
        <is>
          <t>Dec</t>
        </is>
      </c>
      <c r="D181" t="n">
        <v>87945</v>
      </c>
      <c r="E181" t="n">
        <v>0.952</v>
      </c>
      <c r="F181" t="n">
        <v>2928</v>
      </c>
      <c r="G181">
        <f>D181-F181</f>
        <v/>
      </c>
    </row>
    <row r="182">
      <c r="A182" t="inlineStr">
        <is>
          <t>Theta</t>
        </is>
      </c>
      <c r="B182" t="inlineStr">
        <is>
          <t>INV-TH-2</t>
        </is>
      </c>
      <c r="C182" t="inlineStr">
        <is>
          <t>Jan</t>
        </is>
      </c>
      <c r="D182" t="n">
        <v>184474</v>
      </c>
      <c r="E182" t="n">
        <v>0.9782</v>
      </c>
      <c r="F182" t="n">
        <v>2871</v>
      </c>
      <c r="G182">
        <f>D182-F182</f>
        <v/>
      </c>
    </row>
    <row r="183">
      <c r="A183" t="inlineStr">
        <is>
          <t>Theta</t>
        </is>
      </c>
      <c r="B183" t="inlineStr">
        <is>
          <t>INV-TH-2</t>
        </is>
      </c>
      <c r="C183" t="inlineStr">
        <is>
          <t>Feb</t>
        </is>
      </c>
      <c r="D183" t="n">
        <v>182524</v>
      </c>
      <c r="E183" t="n">
        <v>0.9563</v>
      </c>
      <c r="F183" t="n">
        <v>2145</v>
      </c>
      <c r="G183">
        <f>D183-F183</f>
        <v/>
      </c>
    </row>
    <row r="184">
      <c r="A184" t="inlineStr">
        <is>
          <t>Theta</t>
        </is>
      </c>
      <c r="B184" t="inlineStr">
        <is>
          <t>INV-TH-2</t>
        </is>
      </c>
      <c r="C184" t="inlineStr">
        <is>
          <t>Mar</t>
        </is>
      </c>
      <c r="D184" t="n">
        <v>182217</v>
      </c>
      <c r="E184" t="n">
        <v>0.9756</v>
      </c>
      <c r="F184" t="n">
        <v>65</v>
      </c>
      <c r="G184">
        <f>D184-F184</f>
        <v/>
      </c>
    </row>
    <row r="185">
      <c r="A185" t="inlineStr">
        <is>
          <t>Theta</t>
        </is>
      </c>
      <c r="B185" t="inlineStr">
        <is>
          <t>INV-TH-2</t>
        </is>
      </c>
      <c r="C185" t="inlineStr">
        <is>
          <t>Apr</t>
        </is>
      </c>
      <c r="D185" t="n">
        <v>110277</v>
      </c>
      <c r="E185" t="n">
        <v>0.9538</v>
      </c>
      <c r="F185" t="n">
        <v>171</v>
      </c>
      <c r="G185">
        <f>D185-F185</f>
        <v/>
      </c>
    </row>
    <row r="186">
      <c r="A186" t="inlineStr">
        <is>
          <t>Theta</t>
        </is>
      </c>
      <c r="B186" t="inlineStr">
        <is>
          <t>INV-TH-2</t>
        </is>
      </c>
      <c r="C186" t="inlineStr">
        <is>
          <t>May</t>
        </is>
      </c>
      <c r="D186" t="n">
        <v>84889</v>
      </c>
      <c r="E186" t="n">
        <v>0.9787</v>
      </c>
      <c r="F186" t="n">
        <v>429</v>
      </c>
      <c r="G186">
        <f>D186-F186</f>
        <v/>
      </c>
    </row>
    <row r="187">
      <c r="A187" t="inlineStr">
        <is>
          <t>Theta</t>
        </is>
      </c>
      <c r="B187" t="inlineStr">
        <is>
          <t>INV-TH-2</t>
        </is>
      </c>
      <c r="C187" t="inlineStr">
        <is>
          <t>Jun</t>
        </is>
      </c>
      <c r="D187" t="n">
        <v>148728</v>
      </c>
      <c r="E187" t="n">
        <v>0.9876</v>
      </c>
      <c r="F187" t="n">
        <v>2287</v>
      </c>
      <c r="G187">
        <f>D187-F187</f>
        <v/>
      </c>
    </row>
    <row r="188">
      <c r="A188" t="inlineStr">
        <is>
          <t>Theta</t>
        </is>
      </c>
      <c r="B188" t="inlineStr">
        <is>
          <t>INV-TH-2</t>
        </is>
      </c>
      <c r="C188" t="inlineStr">
        <is>
          <t>Jul</t>
        </is>
      </c>
      <c r="D188" t="n">
        <v>63311</v>
      </c>
      <c r="E188" t="n">
        <v>0.9782</v>
      </c>
      <c r="F188" t="n">
        <v>2565</v>
      </c>
      <c r="G188">
        <f>D188-F188</f>
        <v/>
      </c>
    </row>
    <row r="189">
      <c r="A189" t="inlineStr">
        <is>
          <t>Theta</t>
        </is>
      </c>
      <c r="B189" t="inlineStr">
        <is>
          <t>INV-TH-2</t>
        </is>
      </c>
      <c r="C189" t="inlineStr">
        <is>
          <t>Aug</t>
        </is>
      </c>
      <c r="D189" t="n">
        <v>189314</v>
      </c>
      <c r="E189" t="n">
        <v>0.9806</v>
      </c>
      <c r="F189" t="n">
        <v>2004</v>
      </c>
      <c r="G189">
        <f>D189-F189</f>
        <v/>
      </c>
    </row>
    <row r="190">
      <c r="A190" t="inlineStr">
        <is>
          <t>Theta</t>
        </is>
      </c>
      <c r="B190" t="inlineStr">
        <is>
          <t>INV-TH-2</t>
        </is>
      </c>
      <c r="C190" t="inlineStr">
        <is>
          <t>Sep</t>
        </is>
      </c>
      <c r="D190" t="n">
        <v>119151</v>
      </c>
      <c r="E190" t="n">
        <v>0.9500999999999999</v>
      </c>
      <c r="F190" t="n">
        <v>287</v>
      </c>
      <c r="G190">
        <f>D190-F190</f>
        <v/>
      </c>
    </row>
    <row r="191">
      <c r="A191" t="inlineStr">
        <is>
          <t>Theta</t>
        </is>
      </c>
      <c r="B191" t="inlineStr">
        <is>
          <t>INV-TH-2</t>
        </is>
      </c>
      <c r="C191" t="inlineStr">
        <is>
          <t>Oct</t>
        </is>
      </c>
      <c r="D191" t="n">
        <v>181850</v>
      </c>
      <c r="E191" t="n">
        <v>0.9903999999999999</v>
      </c>
      <c r="F191" t="n">
        <v>376</v>
      </c>
      <c r="G191">
        <f>D191-F191</f>
        <v/>
      </c>
    </row>
    <row r="192">
      <c r="A192" t="inlineStr">
        <is>
          <t>Theta</t>
        </is>
      </c>
      <c r="B192" t="inlineStr">
        <is>
          <t>INV-TH-2</t>
        </is>
      </c>
      <c r="C192" t="inlineStr">
        <is>
          <t>Nov</t>
        </is>
      </c>
      <c r="D192" t="n">
        <v>187885</v>
      </c>
      <c r="E192" t="n">
        <v>0.953</v>
      </c>
      <c r="F192" t="n">
        <v>1940</v>
      </c>
      <c r="G192">
        <f>D192-F192</f>
        <v/>
      </c>
    </row>
    <row r="193">
      <c r="A193" t="inlineStr">
        <is>
          <t>Theta</t>
        </is>
      </c>
      <c r="B193" t="inlineStr">
        <is>
          <t>INV-TH-2</t>
        </is>
      </c>
      <c r="C193" t="inlineStr">
        <is>
          <t>Dec</t>
        </is>
      </c>
      <c r="D193" t="n">
        <v>116111</v>
      </c>
      <c r="E193" t="n">
        <v>0.9864000000000001</v>
      </c>
      <c r="F193" t="n">
        <v>1087</v>
      </c>
      <c r="G193">
        <f>D193-F193</f>
        <v/>
      </c>
    </row>
    <row r="194">
      <c r="A194" t="inlineStr">
        <is>
          <t>Iota</t>
        </is>
      </c>
      <c r="B194" t="inlineStr">
        <is>
          <t>INV-IO-1</t>
        </is>
      </c>
      <c r="C194" t="inlineStr">
        <is>
          <t>Jan</t>
        </is>
      </c>
      <c r="D194" t="n">
        <v>111547</v>
      </c>
      <c r="E194" t="n">
        <v>0.9828</v>
      </c>
      <c r="F194" t="n">
        <v>840</v>
      </c>
      <c r="G194">
        <f>D194-F194</f>
        <v/>
      </c>
    </row>
    <row r="195">
      <c r="A195" t="inlineStr">
        <is>
          <t>Iota</t>
        </is>
      </c>
      <c r="B195" t="inlineStr">
        <is>
          <t>INV-IO-1</t>
        </is>
      </c>
      <c r="C195" t="inlineStr">
        <is>
          <t>Feb</t>
        </is>
      </c>
      <c r="D195" t="n">
        <v>110486</v>
      </c>
      <c r="E195" t="n">
        <v>0.9833</v>
      </c>
      <c r="F195" t="n">
        <v>1885</v>
      </c>
      <c r="G195">
        <f>D195-F195</f>
        <v/>
      </c>
    </row>
    <row r="196">
      <c r="A196" t="inlineStr">
        <is>
          <t>Iota</t>
        </is>
      </c>
      <c r="B196" t="inlineStr">
        <is>
          <t>INV-IO-1</t>
        </is>
      </c>
      <c r="C196" t="inlineStr">
        <is>
          <t>Mar</t>
        </is>
      </c>
      <c r="D196" t="n">
        <v>179485</v>
      </c>
      <c r="E196" t="n">
        <v>0.988</v>
      </c>
      <c r="F196" t="n">
        <v>314</v>
      </c>
      <c r="G196">
        <f>D196-F196</f>
        <v/>
      </c>
    </row>
    <row r="197">
      <c r="A197" t="inlineStr">
        <is>
          <t>Iota</t>
        </is>
      </c>
      <c r="B197" t="inlineStr">
        <is>
          <t>INV-IO-1</t>
        </is>
      </c>
      <c r="C197" t="inlineStr">
        <is>
          <t>Apr</t>
        </is>
      </c>
      <c r="D197" t="n">
        <v>175569</v>
      </c>
      <c r="E197" t="n">
        <v>0.991</v>
      </c>
      <c r="F197" t="n">
        <v>1176</v>
      </c>
      <c r="G197">
        <f>D197-F197</f>
        <v/>
      </c>
    </row>
    <row r="198">
      <c r="A198" t="inlineStr">
        <is>
          <t>Iota</t>
        </is>
      </c>
      <c r="B198" t="inlineStr">
        <is>
          <t>INV-IO-1</t>
        </is>
      </c>
      <c r="C198" t="inlineStr">
        <is>
          <t>May</t>
        </is>
      </c>
      <c r="D198" t="n">
        <v>62254</v>
      </c>
      <c r="E198" t="n">
        <v>0.9778</v>
      </c>
      <c r="F198" t="n">
        <v>2632</v>
      </c>
      <c r="G198">
        <f>D198-F198</f>
        <v/>
      </c>
    </row>
    <row r="199">
      <c r="A199" t="inlineStr">
        <is>
          <t>Iota</t>
        </is>
      </c>
      <c r="B199" t="inlineStr">
        <is>
          <t>INV-IO-1</t>
        </is>
      </c>
      <c r="C199" t="inlineStr">
        <is>
          <t>Jun</t>
        </is>
      </c>
      <c r="D199" t="n">
        <v>101980</v>
      </c>
      <c r="E199" t="n">
        <v>0.9535</v>
      </c>
      <c r="F199" t="n">
        <v>603</v>
      </c>
      <c r="G199">
        <f>D199-F199</f>
        <v/>
      </c>
    </row>
    <row r="200">
      <c r="A200" t="inlineStr">
        <is>
          <t>Iota</t>
        </is>
      </c>
      <c r="B200" t="inlineStr">
        <is>
          <t>INV-IO-1</t>
        </is>
      </c>
      <c r="C200" t="inlineStr">
        <is>
          <t>Jul</t>
        </is>
      </c>
      <c r="D200" t="n">
        <v>136972</v>
      </c>
      <c r="E200" t="n">
        <v>0.9614</v>
      </c>
      <c r="F200" t="n">
        <v>2838</v>
      </c>
      <c r="G200">
        <f>D200-F200</f>
        <v/>
      </c>
    </row>
    <row r="201">
      <c r="A201" t="inlineStr">
        <is>
          <t>Iota</t>
        </is>
      </c>
      <c r="B201" t="inlineStr">
        <is>
          <t>INV-IO-1</t>
        </is>
      </c>
      <c r="C201" t="inlineStr">
        <is>
          <t>Aug</t>
        </is>
      </c>
      <c r="D201" t="n">
        <v>129801</v>
      </c>
      <c r="E201" t="n">
        <v>0.978</v>
      </c>
      <c r="F201" t="n">
        <v>546</v>
      </c>
      <c r="G201">
        <f>D201-F201</f>
        <v/>
      </c>
    </row>
    <row r="202">
      <c r="A202" t="inlineStr">
        <is>
          <t>Iota</t>
        </is>
      </c>
      <c r="B202" t="inlineStr">
        <is>
          <t>INV-IO-1</t>
        </is>
      </c>
      <c r="C202" t="inlineStr">
        <is>
          <t>Sep</t>
        </is>
      </c>
      <c r="D202" t="n">
        <v>53268</v>
      </c>
      <c r="E202" t="n">
        <v>0.9717</v>
      </c>
      <c r="F202" t="n">
        <v>1989</v>
      </c>
      <c r="G202">
        <f>D202-F202</f>
        <v/>
      </c>
    </row>
    <row r="203">
      <c r="A203" t="inlineStr">
        <is>
          <t>Iota</t>
        </is>
      </c>
      <c r="B203" t="inlineStr">
        <is>
          <t>INV-IO-1</t>
        </is>
      </c>
      <c r="C203" t="inlineStr">
        <is>
          <t>Oct</t>
        </is>
      </c>
      <c r="D203" t="n">
        <v>120457</v>
      </c>
      <c r="E203" t="n">
        <v>0.9938</v>
      </c>
      <c r="F203" t="n">
        <v>407</v>
      </c>
      <c r="G203">
        <f>D203-F203</f>
        <v/>
      </c>
    </row>
    <row r="204">
      <c r="A204" t="inlineStr">
        <is>
          <t>Iota</t>
        </is>
      </c>
      <c r="B204" t="inlineStr">
        <is>
          <t>INV-IO-1</t>
        </is>
      </c>
      <c r="C204" t="inlineStr">
        <is>
          <t>Nov</t>
        </is>
      </c>
      <c r="D204" t="n">
        <v>107067</v>
      </c>
      <c r="E204" t="n">
        <v>0.9804</v>
      </c>
      <c r="F204" t="n">
        <v>1191</v>
      </c>
      <c r="G204">
        <f>D204-F204</f>
        <v/>
      </c>
    </row>
    <row r="205">
      <c r="A205" t="inlineStr">
        <is>
          <t>Iota</t>
        </is>
      </c>
      <c r="B205" t="inlineStr">
        <is>
          <t>INV-IO-1</t>
        </is>
      </c>
      <c r="C205" t="inlineStr">
        <is>
          <t>Dec</t>
        </is>
      </c>
      <c r="D205" t="n">
        <v>185406</v>
      </c>
      <c r="E205" t="n">
        <v>0.9628</v>
      </c>
      <c r="F205" t="n">
        <v>1908</v>
      </c>
      <c r="G205">
        <f>D205-F205</f>
        <v/>
      </c>
    </row>
    <row r="206">
      <c r="A206" t="inlineStr">
        <is>
          <t>Iota</t>
        </is>
      </c>
      <c r="B206" t="inlineStr">
        <is>
          <t>INV-IO-2</t>
        </is>
      </c>
      <c r="C206" t="inlineStr">
        <is>
          <t>Jan</t>
        </is>
      </c>
      <c r="D206" t="n">
        <v>172248</v>
      </c>
      <c r="E206" t="n">
        <v>0.9845</v>
      </c>
      <c r="F206" t="n">
        <v>2249</v>
      </c>
      <c r="G206">
        <f>D206-F206</f>
        <v/>
      </c>
    </row>
    <row r="207">
      <c r="A207" t="inlineStr">
        <is>
          <t>Iota</t>
        </is>
      </c>
      <c r="B207" t="inlineStr">
        <is>
          <t>INV-IO-2</t>
        </is>
      </c>
      <c r="C207" t="inlineStr">
        <is>
          <t>Feb</t>
        </is>
      </c>
      <c r="D207" t="n">
        <v>102232</v>
      </c>
      <c r="E207" t="n">
        <v>0.964</v>
      </c>
      <c r="F207" t="n">
        <v>351</v>
      </c>
      <c r="G207">
        <f>D207-F207</f>
        <v/>
      </c>
    </row>
    <row r="208">
      <c r="A208" t="inlineStr">
        <is>
          <t>Iota</t>
        </is>
      </c>
      <c r="B208" t="inlineStr">
        <is>
          <t>INV-IO-2</t>
        </is>
      </c>
      <c r="C208" t="inlineStr">
        <is>
          <t>Mar</t>
        </is>
      </c>
      <c r="D208" t="n">
        <v>173979</v>
      </c>
      <c r="E208" t="n">
        <v>0.9508</v>
      </c>
      <c r="F208" t="n">
        <v>1879</v>
      </c>
      <c r="G208">
        <f>D208-F208</f>
        <v/>
      </c>
    </row>
    <row r="209">
      <c r="A209" t="inlineStr">
        <is>
          <t>Iota</t>
        </is>
      </c>
      <c r="B209" t="inlineStr">
        <is>
          <t>INV-IO-2</t>
        </is>
      </c>
      <c r="C209" t="inlineStr">
        <is>
          <t>Apr</t>
        </is>
      </c>
      <c r="D209" t="n">
        <v>70044</v>
      </c>
      <c r="E209" t="n">
        <v>0.9869</v>
      </c>
      <c r="F209" t="n">
        <v>1840</v>
      </c>
      <c r="G209">
        <f>D209-F209</f>
        <v/>
      </c>
    </row>
    <row r="210">
      <c r="A210" t="inlineStr">
        <is>
          <t>Iota</t>
        </is>
      </c>
      <c r="B210" t="inlineStr">
        <is>
          <t>INV-IO-2</t>
        </is>
      </c>
      <c r="C210" t="inlineStr">
        <is>
          <t>May</t>
        </is>
      </c>
      <c r="D210" t="n">
        <v>120426</v>
      </c>
      <c r="E210" t="n">
        <v>0.9674</v>
      </c>
      <c r="F210" t="n">
        <v>863</v>
      </c>
      <c r="G210">
        <f>D210-F210</f>
        <v/>
      </c>
    </row>
    <row r="211">
      <c r="A211" t="inlineStr">
        <is>
          <t>Iota</t>
        </is>
      </c>
      <c r="B211" t="inlineStr">
        <is>
          <t>INV-IO-2</t>
        </is>
      </c>
      <c r="C211" t="inlineStr">
        <is>
          <t>Jun</t>
        </is>
      </c>
      <c r="D211" t="n">
        <v>69559</v>
      </c>
      <c r="E211" t="n">
        <v>0.9762</v>
      </c>
      <c r="F211" t="n">
        <v>580</v>
      </c>
      <c r="G211">
        <f>D211-F211</f>
        <v/>
      </c>
    </row>
    <row r="212">
      <c r="A212" t="inlineStr">
        <is>
          <t>Iota</t>
        </is>
      </c>
      <c r="B212" t="inlineStr">
        <is>
          <t>INV-IO-2</t>
        </is>
      </c>
      <c r="C212" t="inlineStr">
        <is>
          <t>Jul</t>
        </is>
      </c>
      <c r="D212" t="n">
        <v>187380</v>
      </c>
      <c r="E212" t="n">
        <v>0.9618</v>
      </c>
      <c r="F212" t="n">
        <v>1472</v>
      </c>
      <c r="G212">
        <f>D212-F212</f>
        <v/>
      </c>
    </row>
    <row r="213">
      <c r="A213" t="inlineStr">
        <is>
          <t>Iota</t>
        </is>
      </c>
      <c r="B213" t="inlineStr">
        <is>
          <t>INV-IO-2</t>
        </is>
      </c>
      <c r="C213" t="inlineStr">
        <is>
          <t>Aug</t>
        </is>
      </c>
      <c r="D213" t="n">
        <v>84761</v>
      </c>
      <c r="E213" t="n">
        <v>0.9772</v>
      </c>
      <c r="F213" t="n">
        <v>2587</v>
      </c>
      <c r="G213">
        <f>D213-F213</f>
        <v/>
      </c>
    </row>
    <row r="214">
      <c r="A214" t="inlineStr">
        <is>
          <t>Iota</t>
        </is>
      </c>
      <c r="B214" t="inlineStr">
        <is>
          <t>INV-IO-2</t>
        </is>
      </c>
      <c r="C214" t="inlineStr">
        <is>
          <t>Sep</t>
        </is>
      </c>
      <c r="D214" t="n">
        <v>183364</v>
      </c>
      <c r="E214" t="n">
        <v>0.9626</v>
      </c>
      <c r="F214" t="n">
        <v>461</v>
      </c>
      <c r="G214">
        <f>D214-F214</f>
        <v/>
      </c>
    </row>
    <row r="215">
      <c r="A215" t="inlineStr">
        <is>
          <t>Iota</t>
        </is>
      </c>
      <c r="B215" t="inlineStr">
        <is>
          <t>INV-IO-2</t>
        </is>
      </c>
      <c r="C215" t="inlineStr">
        <is>
          <t>Oct</t>
        </is>
      </c>
      <c r="D215" t="n">
        <v>145731</v>
      </c>
      <c r="E215" t="n">
        <v>0.9604</v>
      </c>
      <c r="F215" t="n">
        <v>1991</v>
      </c>
      <c r="G215">
        <f>D215-F215</f>
        <v/>
      </c>
    </row>
    <row r="216">
      <c r="A216" t="inlineStr">
        <is>
          <t>Iota</t>
        </is>
      </c>
      <c r="B216" t="inlineStr">
        <is>
          <t>INV-IO-2</t>
        </is>
      </c>
      <c r="C216" t="inlineStr">
        <is>
          <t>Nov</t>
        </is>
      </c>
      <c r="D216" t="n">
        <v>153305</v>
      </c>
      <c r="E216" t="n">
        <v>0.9510999999999999</v>
      </c>
      <c r="F216" t="n">
        <v>14</v>
      </c>
      <c r="G216">
        <f>D216-F216</f>
        <v/>
      </c>
    </row>
    <row r="217">
      <c r="A217" t="inlineStr">
        <is>
          <t>Iota</t>
        </is>
      </c>
      <c r="B217" t="inlineStr">
        <is>
          <t>INV-IO-2</t>
        </is>
      </c>
      <c r="C217" t="inlineStr">
        <is>
          <t>Dec</t>
        </is>
      </c>
      <c r="D217" t="n">
        <v>178895</v>
      </c>
      <c r="E217" t="n">
        <v>0.9807</v>
      </c>
      <c r="F217" t="n">
        <v>1660</v>
      </c>
      <c r="G217">
        <f>D217-F217</f>
        <v/>
      </c>
    </row>
    <row r="218">
      <c r="A218" t="inlineStr">
        <is>
          <t>Kappa</t>
        </is>
      </c>
      <c r="B218" t="inlineStr">
        <is>
          <t>INV-KA-1</t>
        </is>
      </c>
      <c r="C218" t="inlineStr">
        <is>
          <t>Jan</t>
        </is>
      </c>
      <c r="D218" t="n">
        <v>129154</v>
      </c>
      <c r="E218" t="n">
        <v>0.9827</v>
      </c>
      <c r="F218" t="n">
        <v>1704</v>
      </c>
      <c r="G218">
        <f>D218-F218</f>
        <v/>
      </c>
    </row>
    <row r="219">
      <c r="A219" t="inlineStr">
        <is>
          <t>Kappa</t>
        </is>
      </c>
      <c r="B219" t="inlineStr">
        <is>
          <t>INV-KA-1</t>
        </is>
      </c>
      <c r="C219" t="inlineStr">
        <is>
          <t>Feb</t>
        </is>
      </c>
      <c r="D219" t="n">
        <v>140167</v>
      </c>
      <c r="E219" t="n">
        <v>0.9669</v>
      </c>
      <c r="F219" t="n">
        <v>495</v>
      </c>
      <c r="G219">
        <f>D219-F219</f>
        <v/>
      </c>
    </row>
    <row r="220">
      <c r="A220" t="inlineStr">
        <is>
          <t>Kappa</t>
        </is>
      </c>
      <c r="B220" t="inlineStr">
        <is>
          <t>INV-KA-1</t>
        </is>
      </c>
      <c r="C220" t="inlineStr">
        <is>
          <t>Mar</t>
        </is>
      </c>
      <c r="D220" t="n">
        <v>136854</v>
      </c>
      <c r="E220" t="n">
        <v>0.9500999999999999</v>
      </c>
      <c r="F220" t="n">
        <v>1385</v>
      </c>
      <c r="G220">
        <f>D220-F220</f>
        <v/>
      </c>
    </row>
    <row r="221">
      <c r="A221" t="inlineStr">
        <is>
          <t>Kappa</t>
        </is>
      </c>
      <c r="B221" t="inlineStr">
        <is>
          <t>INV-KA-1</t>
        </is>
      </c>
      <c r="C221" t="inlineStr">
        <is>
          <t>Apr</t>
        </is>
      </c>
      <c r="D221" t="n">
        <v>154401</v>
      </c>
      <c r="E221" t="n">
        <v>0.9554</v>
      </c>
      <c r="F221" t="n">
        <v>801</v>
      </c>
      <c r="G221">
        <f>D221-F221</f>
        <v/>
      </c>
    </row>
    <row r="222">
      <c r="A222" t="inlineStr">
        <is>
          <t>Kappa</t>
        </is>
      </c>
      <c r="B222" t="inlineStr">
        <is>
          <t>INV-KA-1</t>
        </is>
      </c>
      <c r="C222" t="inlineStr">
        <is>
          <t>May</t>
        </is>
      </c>
      <c r="D222" t="n">
        <v>53072</v>
      </c>
      <c r="E222" t="n">
        <v>0.9906</v>
      </c>
      <c r="F222" t="n">
        <v>1187</v>
      </c>
      <c r="G222">
        <f>D222-F222</f>
        <v/>
      </c>
    </row>
    <row r="223">
      <c r="A223" t="inlineStr">
        <is>
          <t>Kappa</t>
        </is>
      </c>
      <c r="B223" t="inlineStr">
        <is>
          <t>INV-KA-1</t>
        </is>
      </c>
      <c r="C223" t="inlineStr">
        <is>
          <t>Jun</t>
        </is>
      </c>
      <c r="D223" t="n">
        <v>116378</v>
      </c>
      <c r="E223" t="n">
        <v>0.9667</v>
      </c>
      <c r="F223" t="n">
        <v>1609</v>
      </c>
      <c r="G223">
        <f>D223-F223</f>
        <v/>
      </c>
    </row>
    <row r="224">
      <c r="A224" t="inlineStr">
        <is>
          <t>Kappa</t>
        </is>
      </c>
      <c r="B224" t="inlineStr">
        <is>
          <t>INV-KA-1</t>
        </is>
      </c>
      <c r="C224" t="inlineStr">
        <is>
          <t>Jul</t>
        </is>
      </c>
      <c r="D224" t="n">
        <v>152278</v>
      </c>
      <c r="E224" t="n">
        <v>0.9949</v>
      </c>
      <c r="F224" t="n">
        <v>2413</v>
      </c>
      <c r="G224">
        <f>D224-F224</f>
        <v/>
      </c>
    </row>
    <row r="225">
      <c r="A225" t="inlineStr">
        <is>
          <t>Kappa</t>
        </is>
      </c>
      <c r="B225" t="inlineStr">
        <is>
          <t>INV-KA-1</t>
        </is>
      </c>
      <c r="C225" t="inlineStr">
        <is>
          <t>Aug</t>
        </is>
      </c>
      <c r="D225" t="n">
        <v>70027</v>
      </c>
      <c r="E225" t="n">
        <v>0.9661999999999999</v>
      </c>
      <c r="F225" t="n">
        <v>1753</v>
      </c>
      <c r="G225">
        <f>D225-F225</f>
        <v/>
      </c>
    </row>
    <row r="226">
      <c r="A226" t="inlineStr">
        <is>
          <t>Kappa</t>
        </is>
      </c>
      <c r="B226" t="inlineStr">
        <is>
          <t>INV-KA-1</t>
        </is>
      </c>
      <c r="C226" t="inlineStr">
        <is>
          <t>Sep</t>
        </is>
      </c>
      <c r="D226" t="n">
        <v>122130</v>
      </c>
      <c r="E226" t="n">
        <v>0.9883999999999999</v>
      </c>
      <c r="F226" t="n">
        <v>1149</v>
      </c>
      <c r="G226">
        <f>D226-F226</f>
        <v/>
      </c>
    </row>
    <row r="227">
      <c r="A227" t="inlineStr">
        <is>
          <t>Kappa</t>
        </is>
      </c>
      <c r="B227" t="inlineStr">
        <is>
          <t>INV-KA-1</t>
        </is>
      </c>
      <c r="C227" t="inlineStr">
        <is>
          <t>Oct</t>
        </is>
      </c>
      <c r="D227" t="n">
        <v>76662</v>
      </c>
      <c r="E227" t="n">
        <v>0.9523</v>
      </c>
      <c r="F227" t="n">
        <v>2711</v>
      </c>
      <c r="G227">
        <f>D227-F227</f>
        <v/>
      </c>
    </row>
    <row r="228">
      <c r="A228" t="inlineStr">
        <is>
          <t>Kappa</t>
        </is>
      </c>
      <c r="B228" t="inlineStr">
        <is>
          <t>INV-KA-1</t>
        </is>
      </c>
      <c r="C228" t="inlineStr">
        <is>
          <t>Nov</t>
        </is>
      </c>
      <c r="D228" t="n">
        <v>124874</v>
      </c>
      <c r="E228" t="n">
        <v>0.9786</v>
      </c>
      <c r="F228" t="n">
        <v>609</v>
      </c>
      <c r="G228">
        <f>D228-F228</f>
        <v/>
      </c>
    </row>
    <row r="229">
      <c r="A229" t="inlineStr">
        <is>
          <t>Kappa</t>
        </is>
      </c>
      <c r="B229" t="inlineStr">
        <is>
          <t>INV-KA-1</t>
        </is>
      </c>
      <c r="C229" t="inlineStr">
        <is>
          <t>Dec</t>
        </is>
      </c>
      <c r="D229" t="n">
        <v>115358</v>
      </c>
      <c r="E229" t="n">
        <v>0.9937</v>
      </c>
      <c r="F229" t="n">
        <v>1786</v>
      </c>
      <c r="G229">
        <f>D229-F229</f>
        <v/>
      </c>
    </row>
    <row r="230">
      <c r="A230" t="inlineStr">
        <is>
          <t>Kappa</t>
        </is>
      </c>
      <c r="B230" t="inlineStr">
        <is>
          <t>INV-KA-2</t>
        </is>
      </c>
      <c r="C230" t="inlineStr">
        <is>
          <t>Jan</t>
        </is>
      </c>
      <c r="D230" t="n">
        <v>183945</v>
      </c>
      <c r="E230" t="n">
        <v>0.9641999999999999</v>
      </c>
      <c r="F230" t="n">
        <v>1529</v>
      </c>
      <c r="G230">
        <f>D230-F230</f>
        <v/>
      </c>
    </row>
    <row r="231">
      <c r="A231" t="inlineStr">
        <is>
          <t>Kappa</t>
        </is>
      </c>
      <c r="B231" t="inlineStr">
        <is>
          <t>INV-KA-2</t>
        </is>
      </c>
      <c r="C231" t="inlineStr">
        <is>
          <t>Feb</t>
        </is>
      </c>
      <c r="D231" t="n">
        <v>162131</v>
      </c>
      <c r="E231" t="n">
        <v>0.9898</v>
      </c>
      <c r="F231" t="n">
        <v>2584</v>
      </c>
      <c r="G231">
        <f>D231-F231</f>
        <v/>
      </c>
    </row>
    <row r="232">
      <c r="A232" t="inlineStr">
        <is>
          <t>Kappa</t>
        </is>
      </c>
      <c r="B232" t="inlineStr">
        <is>
          <t>INV-KA-2</t>
        </is>
      </c>
      <c r="C232" t="inlineStr">
        <is>
          <t>Mar</t>
        </is>
      </c>
      <c r="D232" t="n">
        <v>154868</v>
      </c>
      <c r="E232" t="n">
        <v>0.9911</v>
      </c>
      <c r="F232" t="n">
        <v>2269</v>
      </c>
      <c r="G232">
        <f>D232-F232</f>
        <v/>
      </c>
    </row>
    <row r="233">
      <c r="A233" t="inlineStr">
        <is>
          <t>Kappa</t>
        </is>
      </c>
      <c r="B233" t="inlineStr">
        <is>
          <t>INV-KA-2</t>
        </is>
      </c>
      <c r="C233" t="inlineStr">
        <is>
          <t>Apr</t>
        </is>
      </c>
      <c r="D233" t="n">
        <v>193976</v>
      </c>
      <c r="E233" t="n">
        <v>0.9592000000000001</v>
      </c>
      <c r="F233" t="n">
        <v>330</v>
      </c>
      <c r="G233">
        <f>D233-F233</f>
        <v/>
      </c>
    </row>
    <row r="234">
      <c r="A234" t="inlineStr">
        <is>
          <t>Kappa</t>
        </is>
      </c>
      <c r="B234" t="inlineStr">
        <is>
          <t>INV-KA-2</t>
        </is>
      </c>
      <c r="C234" t="inlineStr">
        <is>
          <t>May</t>
        </is>
      </c>
      <c r="D234" t="n">
        <v>62969</v>
      </c>
      <c r="E234" t="n">
        <v>0.992</v>
      </c>
      <c r="F234" t="n">
        <v>1682</v>
      </c>
      <c r="G234">
        <f>D234-F234</f>
        <v/>
      </c>
    </row>
    <row r="235">
      <c r="A235" t="inlineStr">
        <is>
          <t>Kappa</t>
        </is>
      </c>
      <c r="B235" t="inlineStr">
        <is>
          <t>INV-KA-2</t>
        </is>
      </c>
      <c r="C235" t="inlineStr">
        <is>
          <t>Jun</t>
        </is>
      </c>
      <c r="D235" t="n">
        <v>168190</v>
      </c>
      <c r="E235" t="n">
        <v>0.9777</v>
      </c>
      <c r="F235" t="n">
        <v>567</v>
      </c>
      <c r="G235">
        <f>D235-F235</f>
        <v/>
      </c>
    </row>
    <row r="236">
      <c r="A236" t="inlineStr">
        <is>
          <t>Kappa</t>
        </is>
      </c>
      <c r="B236" t="inlineStr">
        <is>
          <t>INV-KA-2</t>
        </is>
      </c>
      <c r="C236" t="inlineStr">
        <is>
          <t>Jul</t>
        </is>
      </c>
      <c r="D236" t="n">
        <v>125027</v>
      </c>
      <c r="E236" t="n">
        <v>0.9719</v>
      </c>
      <c r="F236" t="n">
        <v>2253</v>
      </c>
      <c r="G236">
        <f>D236-F236</f>
        <v/>
      </c>
    </row>
    <row r="237">
      <c r="A237" t="inlineStr">
        <is>
          <t>Kappa</t>
        </is>
      </c>
      <c r="B237" t="inlineStr">
        <is>
          <t>INV-KA-2</t>
        </is>
      </c>
      <c r="C237" t="inlineStr">
        <is>
          <t>Aug</t>
        </is>
      </c>
      <c r="D237" t="n">
        <v>83373</v>
      </c>
      <c r="E237" t="n">
        <v>0.9577</v>
      </c>
      <c r="F237" t="n">
        <v>1699</v>
      </c>
      <c r="G237">
        <f>D237-F237</f>
        <v/>
      </c>
    </row>
    <row r="238">
      <c r="A238" t="inlineStr">
        <is>
          <t>Kappa</t>
        </is>
      </c>
      <c r="B238" t="inlineStr">
        <is>
          <t>INV-KA-2</t>
        </is>
      </c>
      <c r="C238" t="inlineStr">
        <is>
          <t>Sep</t>
        </is>
      </c>
      <c r="D238" t="n">
        <v>140089</v>
      </c>
      <c r="E238" t="n">
        <v>0.9627</v>
      </c>
      <c r="F238" t="n">
        <v>1047</v>
      </c>
      <c r="G238">
        <f>D238-F238</f>
        <v/>
      </c>
    </row>
    <row r="239">
      <c r="A239" t="inlineStr">
        <is>
          <t>Kappa</t>
        </is>
      </c>
      <c r="B239" t="inlineStr">
        <is>
          <t>INV-KA-2</t>
        </is>
      </c>
      <c r="C239" t="inlineStr">
        <is>
          <t>Oct</t>
        </is>
      </c>
      <c r="D239" t="n">
        <v>118201</v>
      </c>
      <c r="E239" t="n">
        <v>0.9683</v>
      </c>
      <c r="F239" t="n">
        <v>977</v>
      </c>
      <c r="G239">
        <f>D239-F239</f>
        <v/>
      </c>
    </row>
    <row r="240">
      <c r="A240" t="inlineStr">
        <is>
          <t>Kappa</t>
        </is>
      </c>
      <c r="B240" t="inlineStr">
        <is>
          <t>INV-KA-2</t>
        </is>
      </c>
      <c r="C240" t="inlineStr">
        <is>
          <t>Nov</t>
        </is>
      </c>
      <c r="D240" t="n">
        <v>128862</v>
      </c>
      <c r="E240" t="n">
        <v>0.9717</v>
      </c>
      <c r="F240" t="n">
        <v>2739</v>
      </c>
      <c r="G240">
        <f>D240-F240</f>
        <v/>
      </c>
    </row>
    <row r="241">
      <c r="A241" t="inlineStr">
        <is>
          <t>Kappa</t>
        </is>
      </c>
      <c r="B241" t="inlineStr">
        <is>
          <t>INV-KA-2</t>
        </is>
      </c>
      <c r="C241" t="inlineStr">
        <is>
          <t>Dec</t>
        </is>
      </c>
      <c r="D241" t="n">
        <v>153381</v>
      </c>
      <c r="E241" t="n">
        <v>0.9554</v>
      </c>
      <c r="F241" t="n">
        <v>2634</v>
      </c>
      <c r="G241">
        <f>D241-F241</f>
        <v/>
      </c>
    </row>
    <row r="242">
      <c r="A242" t="inlineStr">
        <is>
          <t>TOTAL BY SITE</t>
        </is>
      </c>
    </row>
    <row r="243">
      <c r="A243" t="inlineStr">
        <is>
          <t>Alpha</t>
        </is>
      </c>
      <c r="D243">
        <f>SUMIFS(G2:G241,A2:A241,"Alpha")</f>
        <v/>
      </c>
    </row>
    <row r="244">
      <c r="A244" t="inlineStr">
        <is>
          <t>Beta</t>
        </is>
      </c>
      <c r="D244">
        <f>SUMIFS(G2:G241,A2:A241,"Beta")</f>
        <v/>
      </c>
    </row>
    <row r="245">
      <c r="A245" t="inlineStr">
        <is>
          <t>Gamma</t>
        </is>
      </c>
      <c r="D245">
        <f>SUMIFS(G2:G241,A2:A241,"Gamma")</f>
        <v/>
      </c>
    </row>
    <row r="246">
      <c r="A246" t="inlineStr">
        <is>
          <t>Delta</t>
        </is>
      </c>
      <c r="D246">
        <f>SUMIFS(G2:G241,A2:A241,"Delta")</f>
        <v/>
      </c>
    </row>
    <row r="247">
      <c r="A247" t="inlineStr">
        <is>
          <t>Epsilon</t>
        </is>
      </c>
      <c r="D247">
        <f>SUMIFS(G2:G241,A2:A241,"Epsilon")</f>
        <v/>
      </c>
    </row>
    <row r="248">
      <c r="A248" t="inlineStr">
        <is>
          <t>Zeta</t>
        </is>
      </c>
      <c r="D248">
        <f>SUMIFS(G2:G241,A2:A241,"Zeta")</f>
        <v/>
      </c>
    </row>
    <row r="249">
      <c r="A249" t="inlineStr">
        <is>
          <t>Eta</t>
        </is>
      </c>
      <c r="D249">
        <f>SUMIFS(G2:G241,A2:A241,"Eta")</f>
        <v/>
      </c>
    </row>
    <row r="250">
      <c r="A250" t="inlineStr">
        <is>
          <t>Theta</t>
        </is>
      </c>
      <c r="D250">
        <f>SUMIFS(G2:G241,A2:A241,"Theta")</f>
        <v/>
      </c>
    </row>
    <row r="251">
      <c r="A251" t="inlineStr">
        <is>
          <t>Iota</t>
        </is>
      </c>
      <c r="D251">
        <f>SUMIFS(G2:G241,A2:A241,"Iota")</f>
        <v/>
      </c>
    </row>
    <row r="252">
      <c r="A252" t="inlineStr">
        <is>
          <t>Kappa</t>
        </is>
      </c>
      <c r="D252">
        <f>SUMIFS(G2:G241,A2:A241,"Kappa")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Soiling</t>
        </is>
      </c>
      <c r="C1" s="1" t="inlineStr">
        <is>
          <t>Shading</t>
        </is>
      </c>
      <c r="D1" s="1" t="inlineStr">
        <is>
          <t>Wiring</t>
        </is>
      </c>
      <c r="E1" s="1" t="inlineStr">
        <is>
          <t>Transformer</t>
        </is>
      </c>
      <c r="F1" s="1" t="inlineStr">
        <is>
          <t>Availability</t>
        </is>
      </c>
      <c r="G1" s="1" t="inlineStr">
        <is>
          <t>Degradation</t>
        </is>
      </c>
      <c r="H1" s="1" t="inlineStr">
        <is>
          <t>Total Loss</t>
        </is>
      </c>
    </row>
    <row r="2">
      <c r="A2" t="inlineStr">
        <is>
          <t>Alpha</t>
        </is>
      </c>
      <c r="B2" t="n">
        <v>0.0132</v>
      </c>
      <c r="C2" t="n">
        <v>0.0081</v>
      </c>
      <c r="D2" t="n">
        <v>0.0141</v>
      </c>
      <c r="E2" t="n">
        <v>0.015</v>
      </c>
      <c r="F2" t="n">
        <v>0.0083</v>
      </c>
      <c r="G2">
        <f>Alpha_DegradationOverride</f>
        <v/>
      </c>
      <c r="H2">
        <f>1-PRODUCT(1-B2,1-C2,1-D2,1-E2,1-F2,1-G2)</f>
        <v/>
      </c>
    </row>
    <row r="3">
      <c r="A3" t="inlineStr">
        <is>
          <t>Beta</t>
        </is>
      </c>
      <c r="B3" t="n">
        <v>0.0281</v>
      </c>
      <c r="C3" t="n">
        <v>0.0199</v>
      </c>
      <c r="D3" t="n">
        <v>0.0095</v>
      </c>
      <c r="E3" t="n">
        <v>0.0114</v>
      </c>
      <c r="F3" t="n">
        <v>0.007900000000000001</v>
      </c>
      <c r="G3">
        <f>AnnualDegradationRate</f>
        <v/>
      </c>
      <c r="H3">
        <f>1-PRODUCT(1-B3,1-C3,1-D3,1-E3,1-F3,1-G3)</f>
        <v/>
      </c>
    </row>
    <row r="4">
      <c r="A4" t="inlineStr">
        <is>
          <t>Gamma</t>
        </is>
      </c>
      <c r="B4" t="n">
        <v>0.0118</v>
      </c>
      <c r="C4" t="n">
        <v>0.0101</v>
      </c>
      <c r="D4" t="n">
        <v>0.0059</v>
      </c>
      <c r="E4" t="n">
        <v>0.0124</v>
      </c>
      <c r="F4" t="n">
        <v>0.0089</v>
      </c>
      <c r="G4">
        <f>AnnualDegradationRate</f>
        <v/>
      </c>
      <c r="H4">
        <f>1-PRODUCT(1-B4,1-C4,1-D4,1-E4,1-F4,1-G4)</f>
        <v/>
      </c>
    </row>
    <row r="5">
      <c r="A5" t="inlineStr">
        <is>
          <t>Delta</t>
        </is>
      </c>
      <c r="B5" t="n">
        <v>0.0214</v>
      </c>
      <c r="C5" t="n">
        <v>0.0183</v>
      </c>
      <c r="D5" t="n">
        <v>0.0125</v>
      </c>
      <c r="E5" t="n">
        <v>0.0141</v>
      </c>
      <c r="F5" t="n">
        <v>0.0112</v>
      </c>
      <c r="G5">
        <f>AnnualDegradationRate</f>
        <v/>
      </c>
      <c r="H5">
        <f>1-PRODUCT(1-B5,1-C5,1-D5,1-E5,1-F5,1-G5)</f>
        <v/>
      </c>
    </row>
    <row r="6">
      <c r="A6" t="inlineStr">
        <is>
          <t>Epsilon</t>
        </is>
      </c>
      <c r="B6" t="n">
        <v>0.0205</v>
      </c>
      <c r="C6" t="n">
        <v>0.0107</v>
      </c>
      <c r="D6" t="n">
        <v>0.008399999999999999</v>
      </c>
      <c r="E6" t="n">
        <v>0.0106</v>
      </c>
      <c r="F6" t="n">
        <v>0.0092</v>
      </c>
      <c r="G6">
        <f>AnnualDegradationRate</f>
        <v/>
      </c>
      <c r="H6">
        <f>1-PRODUCT(1-B6,1-C6,1-D6,1-E6,1-F6,1-G6)</f>
        <v/>
      </c>
    </row>
    <row r="7">
      <c r="A7" t="inlineStr">
        <is>
          <t>Zeta</t>
        </is>
      </c>
      <c r="B7" t="n">
        <v>0.0294</v>
      </c>
      <c r="C7" t="n">
        <v>0.0069</v>
      </c>
      <c r="D7" t="n">
        <v>0.01</v>
      </c>
      <c r="E7" t="n">
        <v>0.0163</v>
      </c>
      <c r="F7" t="n">
        <v>0.0179</v>
      </c>
      <c r="G7">
        <f>AnnualDegradationRate</f>
        <v/>
      </c>
      <c r="H7">
        <f>1-PRODUCT(1-B7,1-C7,1-D7,1-E7,1-F7,1-G7)</f>
        <v/>
      </c>
    </row>
    <row r="8">
      <c r="A8" t="inlineStr">
        <is>
          <t>Eta</t>
        </is>
      </c>
      <c r="B8" t="n">
        <v>0.0143</v>
      </c>
      <c r="C8" t="n">
        <v>0.0091</v>
      </c>
      <c r="D8" t="n">
        <v>0.0075</v>
      </c>
      <c r="E8" t="n">
        <v>0.014</v>
      </c>
      <c r="F8" t="n">
        <v>0.0117</v>
      </c>
      <c r="G8">
        <f>AnnualDegradationRate</f>
        <v/>
      </c>
      <c r="H8">
        <f>1-PRODUCT(1-B8,1-C8,1-D8,1-E8,1-F8,1-G8)</f>
        <v/>
      </c>
    </row>
    <row r="9">
      <c r="A9" t="inlineStr">
        <is>
          <t>Theta</t>
        </is>
      </c>
      <c r="B9" t="n">
        <v>0.0291</v>
      </c>
      <c r="C9" t="n">
        <v>0.0177</v>
      </c>
      <c r="D9" t="n">
        <v>0.0137</v>
      </c>
      <c r="E9" t="n">
        <v>0.0102</v>
      </c>
      <c r="F9" t="n">
        <v>0.0055</v>
      </c>
      <c r="G9">
        <f>AnnualDegradationRate</f>
        <v/>
      </c>
      <c r="H9">
        <f>1-PRODUCT(1-B9,1-C9,1-D9,1-E9,1-F9,1-G9)</f>
        <v/>
      </c>
    </row>
    <row r="10">
      <c r="A10" t="inlineStr">
        <is>
          <t>Iota</t>
        </is>
      </c>
      <c r="B10" t="n">
        <v>0.0242</v>
      </c>
      <c r="C10" t="n">
        <v>0.0184</v>
      </c>
      <c r="D10" t="n">
        <v>0.0097</v>
      </c>
      <c r="E10" t="n">
        <v>0.0159</v>
      </c>
      <c r="F10" t="n">
        <v>0.005</v>
      </c>
      <c r="G10">
        <f>AnnualDegradationRate</f>
        <v/>
      </c>
      <c r="H10">
        <f>1-PRODUCT(1-B10,1-C10,1-D10,1-E10,1-F10,1-G10)</f>
        <v/>
      </c>
    </row>
    <row r="11">
      <c r="A11" t="inlineStr">
        <is>
          <t>Kappa</t>
        </is>
      </c>
      <c r="B11" t="n">
        <v>0.0178</v>
      </c>
      <c r="C11" t="n">
        <v>0.0189</v>
      </c>
      <c r="D11" t="n">
        <v>0.0133</v>
      </c>
      <c r="E11" t="n">
        <v>0.0186</v>
      </c>
      <c r="F11" t="n">
        <v>0.0196</v>
      </c>
      <c r="G11">
        <f>AnnualDegradationRate</f>
        <v/>
      </c>
      <c r="H11">
        <f>1-PRODUCT(1-B11,1-C11,1-D11,1-E11,1-F11,1-G11)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TMY_Jan</t>
        </is>
      </c>
      <c r="C1" s="1" t="inlineStr">
        <is>
          <t>TMY_Feb</t>
        </is>
      </c>
      <c r="D1" s="1" t="inlineStr">
        <is>
          <t>TMY_Mar</t>
        </is>
      </c>
      <c r="E1" s="1" t="inlineStr">
        <is>
          <t>TMY_Apr</t>
        </is>
      </c>
      <c r="F1" s="1" t="inlineStr">
        <is>
          <t>TMY_May</t>
        </is>
      </c>
      <c r="G1" s="1" t="inlineStr">
        <is>
          <t>TMY_Jun</t>
        </is>
      </c>
      <c r="H1" s="1" t="inlineStr">
        <is>
          <t>TMY_Jul</t>
        </is>
      </c>
      <c r="I1" s="1" t="inlineStr">
        <is>
          <t>TMY_Aug</t>
        </is>
      </c>
      <c r="J1" s="1" t="inlineStr">
        <is>
          <t>TMY_Sep</t>
        </is>
      </c>
      <c r="K1" s="1" t="inlineStr">
        <is>
          <t>TMY_Oct</t>
        </is>
      </c>
      <c r="L1" s="1" t="inlineStr">
        <is>
          <t>TMY_Nov</t>
        </is>
      </c>
      <c r="M1" s="1" t="inlineStr">
        <is>
          <t>TMY_Dec</t>
        </is>
      </c>
      <c r="N1" s="1" t="inlineStr">
        <is>
          <t>Actual_Jan</t>
        </is>
      </c>
      <c r="O1" s="1" t="inlineStr">
        <is>
          <t>Actual_Feb</t>
        </is>
      </c>
      <c r="P1" s="1" t="inlineStr">
        <is>
          <t>Actual_Mar</t>
        </is>
      </c>
      <c r="Q1" s="1" t="inlineStr">
        <is>
          <t>Actual_Apr</t>
        </is>
      </c>
      <c r="R1" s="1" t="inlineStr">
        <is>
          <t>Actual_May</t>
        </is>
      </c>
      <c r="S1" s="1" t="inlineStr">
        <is>
          <t>Actual_Jun</t>
        </is>
      </c>
      <c r="T1" s="1" t="inlineStr">
        <is>
          <t>Actual_Jul</t>
        </is>
      </c>
      <c r="U1" s="1" t="inlineStr">
        <is>
          <t>Actual_Aug</t>
        </is>
      </c>
      <c r="V1" s="1" t="inlineStr">
        <is>
          <t>Actual_Sep</t>
        </is>
      </c>
      <c r="W1" s="1" t="inlineStr">
        <is>
          <t>Actual_Oct</t>
        </is>
      </c>
      <c r="X1" s="1" t="inlineStr">
        <is>
          <t>Actual_Nov</t>
        </is>
      </c>
      <c r="Y1" s="1" t="inlineStr">
        <is>
          <t>Actual_Dec</t>
        </is>
      </c>
      <c r="Z1" s="1" t="inlineStr">
        <is>
          <t>WeatherAdj</t>
        </is>
      </c>
    </row>
    <row r="2">
      <c r="A2" t="inlineStr">
        <is>
          <t>Alpha</t>
        </is>
      </c>
      <c r="B2" t="n">
        <v>139.9</v>
      </c>
      <c r="C2" t="n">
        <v>132.4</v>
      </c>
      <c r="D2" t="n">
        <v>174.6</v>
      </c>
      <c r="E2" t="n">
        <v>177.7</v>
      </c>
      <c r="F2" t="n">
        <v>181.2</v>
      </c>
      <c r="G2" t="n">
        <v>164.1</v>
      </c>
      <c r="H2" t="n">
        <v>182.6</v>
      </c>
      <c r="I2" t="n">
        <v>193.6</v>
      </c>
      <c r="J2" t="n">
        <v>144.3</v>
      </c>
      <c r="K2" t="n">
        <v>140.1</v>
      </c>
      <c r="L2" t="n">
        <v>175.9</v>
      </c>
      <c r="M2" t="n">
        <v>125.6</v>
      </c>
      <c r="N2" t="n">
        <v>120.9</v>
      </c>
      <c r="O2" t="n">
        <v>162.2</v>
      </c>
      <c r="P2" t="n">
        <v>204.1</v>
      </c>
      <c r="Q2" t="n">
        <v>174.7</v>
      </c>
      <c r="R2" t="n">
        <v>155.7</v>
      </c>
      <c r="S2" t="n">
        <v>114</v>
      </c>
      <c r="T2" t="n">
        <v>133.3</v>
      </c>
      <c r="U2" t="n">
        <v>174.6</v>
      </c>
      <c r="V2" t="n">
        <v>122.8</v>
      </c>
      <c r="W2" t="n">
        <v>173.6</v>
      </c>
      <c r="X2" t="n">
        <v>121.2</v>
      </c>
      <c r="Y2" t="n">
        <v>162.4</v>
      </c>
      <c r="Z2">
        <f>SUM(N2:Y2)/SUM(B2:M2)</f>
        <v/>
      </c>
    </row>
    <row r="3">
      <c r="A3" t="inlineStr">
        <is>
          <t>Beta</t>
        </is>
      </c>
      <c r="B3" t="n">
        <v>166.6</v>
      </c>
      <c r="C3" t="n">
        <v>137.9</v>
      </c>
      <c r="D3" t="n">
        <v>120.8</v>
      </c>
      <c r="E3" t="n">
        <v>156.9</v>
      </c>
      <c r="F3" t="n">
        <v>171.6</v>
      </c>
      <c r="G3" t="n">
        <v>158</v>
      </c>
      <c r="H3" t="n">
        <v>139.8</v>
      </c>
      <c r="I3" t="n">
        <v>176.4</v>
      </c>
      <c r="J3" t="n">
        <v>121.7</v>
      </c>
      <c r="K3" t="n">
        <v>174</v>
      </c>
      <c r="L3" t="n">
        <v>140.6</v>
      </c>
      <c r="M3" t="n">
        <v>194</v>
      </c>
      <c r="N3" t="n">
        <v>148.8</v>
      </c>
      <c r="O3" t="n">
        <v>170.1</v>
      </c>
      <c r="P3" t="n">
        <v>140.2</v>
      </c>
      <c r="Q3" t="n">
        <v>205.9</v>
      </c>
      <c r="R3" t="n">
        <v>198.4</v>
      </c>
      <c r="S3" t="n">
        <v>133.5</v>
      </c>
      <c r="T3" t="n">
        <v>206.1</v>
      </c>
      <c r="U3" t="n">
        <v>140.7</v>
      </c>
      <c r="V3" t="n">
        <v>159.8</v>
      </c>
      <c r="W3" t="n">
        <v>152</v>
      </c>
      <c r="X3" t="n">
        <v>176.7</v>
      </c>
      <c r="Y3" t="n">
        <v>132.7</v>
      </c>
      <c r="Z3">
        <f>SUM(N3:Y3)/SUM(B3:M3)</f>
        <v/>
      </c>
    </row>
    <row r="4">
      <c r="A4" t="inlineStr">
        <is>
          <t>Gamma</t>
        </is>
      </c>
      <c r="B4" t="n">
        <v>122.7</v>
      </c>
      <c r="C4" t="n">
        <v>153.6</v>
      </c>
      <c r="D4" t="n">
        <v>135.8</v>
      </c>
      <c r="E4" t="n">
        <v>179.1</v>
      </c>
      <c r="F4" t="n">
        <v>136.4</v>
      </c>
      <c r="G4" t="n">
        <v>144.9</v>
      </c>
      <c r="H4" t="n">
        <v>138.5</v>
      </c>
      <c r="I4" t="n">
        <v>180.8</v>
      </c>
      <c r="J4" t="n">
        <v>196.2</v>
      </c>
      <c r="K4" t="n">
        <v>135</v>
      </c>
      <c r="L4" t="n">
        <v>153.4</v>
      </c>
      <c r="M4" t="n">
        <v>195.9</v>
      </c>
      <c r="N4" t="n">
        <v>143.8</v>
      </c>
      <c r="O4" t="n">
        <v>178.3</v>
      </c>
      <c r="P4" t="n">
        <v>189.7</v>
      </c>
      <c r="Q4" t="n">
        <v>160.5</v>
      </c>
      <c r="R4" t="n">
        <v>207</v>
      </c>
      <c r="S4" t="n">
        <v>192</v>
      </c>
      <c r="T4" t="n">
        <v>132.1</v>
      </c>
      <c r="U4" t="n">
        <v>139.5</v>
      </c>
      <c r="V4" t="n">
        <v>159.6</v>
      </c>
      <c r="W4" t="n">
        <v>132.3</v>
      </c>
      <c r="X4" t="n">
        <v>176.5</v>
      </c>
      <c r="Y4" t="n">
        <v>124.6</v>
      </c>
      <c r="Z4">
        <f>SUM(N4:Y4)/SUM(B4:M4)</f>
        <v/>
      </c>
    </row>
    <row r="5">
      <c r="A5" t="inlineStr">
        <is>
          <t>Delta</t>
        </is>
      </c>
      <c r="B5" t="n">
        <v>151.5</v>
      </c>
      <c r="C5" t="n">
        <v>197.9</v>
      </c>
      <c r="D5" t="n">
        <v>124.1</v>
      </c>
      <c r="E5" t="n">
        <v>151.5</v>
      </c>
      <c r="F5" t="n">
        <v>190.7</v>
      </c>
      <c r="G5" t="n">
        <v>199.8</v>
      </c>
      <c r="H5" t="n">
        <v>146.3</v>
      </c>
      <c r="I5" t="n">
        <v>194.9</v>
      </c>
      <c r="J5" t="n">
        <v>122.6</v>
      </c>
      <c r="K5" t="n">
        <v>150.3</v>
      </c>
      <c r="L5" t="n">
        <v>146.5</v>
      </c>
      <c r="M5" t="n">
        <v>120.2</v>
      </c>
      <c r="N5" t="n">
        <v>131.3</v>
      </c>
      <c r="O5" t="n">
        <v>124.2</v>
      </c>
      <c r="P5" t="n">
        <v>116</v>
      </c>
      <c r="Q5" t="n">
        <v>199.8</v>
      </c>
      <c r="R5" t="n">
        <v>183.3</v>
      </c>
      <c r="S5" t="n">
        <v>203.2</v>
      </c>
      <c r="T5" t="n">
        <v>128.6</v>
      </c>
      <c r="U5" t="n">
        <v>184.6</v>
      </c>
      <c r="V5" t="n">
        <v>176.4</v>
      </c>
      <c r="W5" t="n">
        <v>147.4</v>
      </c>
      <c r="X5" t="n">
        <v>126.9</v>
      </c>
      <c r="Y5" t="n">
        <v>138</v>
      </c>
      <c r="Z5">
        <f>SUM(N5:Y5)/SUM(B5:M5)</f>
        <v/>
      </c>
    </row>
    <row r="6">
      <c r="A6" t="inlineStr">
        <is>
          <t>Epsilon</t>
        </is>
      </c>
      <c r="B6" t="n">
        <v>148.1</v>
      </c>
      <c r="C6" t="n">
        <v>129.9</v>
      </c>
      <c r="D6" t="n">
        <v>136.6</v>
      </c>
      <c r="E6" t="n">
        <v>185.7</v>
      </c>
      <c r="F6" t="n">
        <v>154.6</v>
      </c>
      <c r="G6" t="n">
        <v>157.9</v>
      </c>
      <c r="H6" t="n">
        <v>193.6</v>
      </c>
      <c r="I6" t="n">
        <v>149.1</v>
      </c>
      <c r="J6" t="n">
        <v>122.4</v>
      </c>
      <c r="K6" t="n">
        <v>184.9</v>
      </c>
      <c r="L6" t="n">
        <v>123.3</v>
      </c>
      <c r="M6" t="n">
        <v>125</v>
      </c>
      <c r="N6" t="n">
        <v>205.6</v>
      </c>
      <c r="O6" t="n">
        <v>206.4</v>
      </c>
      <c r="P6" t="n">
        <v>145.7</v>
      </c>
      <c r="Q6" t="n">
        <v>192.2</v>
      </c>
      <c r="R6" t="n">
        <v>114.9</v>
      </c>
      <c r="S6" t="n">
        <v>147.3</v>
      </c>
      <c r="T6" t="n">
        <v>129.3</v>
      </c>
      <c r="U6" t="n">
        <v>199.7</v>
      </c>
      <c r="V6" t="n">
        <v>151.1</v>
      </c>
      <c r="W6" t="n">
        <v>186.7</v>
      </c>
      <c r="X6" t="n">
        <v>113.5</v>
      </c>
      <c r="Y6" t="n">
        <v>202</v>
      </c>
      <c r="Z6">
        <f>SUM(N6:Y6)/SUM(B6:M6)</f>
        <v/>
      </c>
    </row>
    <row r="7">
      <c r="A7" t="inlineStr">
        <is>
          <t>Zeta</t>
        </is>
      </c>
      <c r="B7" t="n">
        <v>140.6</v>
      </c>
      <c r="C7" t="n">
        <v>191.9</v>
      </c>
      <c r="D7" t="n">
        <v>141.8</v>
      </c>
      <c r="E7" t="n">
        <v>169.4</v>
      </c>
      <c r="F7" t="n">
        <v>177.3</v>
      </c>
      <c r="G7" t="n">
        <v>142.1</v>
      </c>
      <c r="H7" t="n">
        <v>180.5</v>
      </c>
      <c r="I7" t="n">
        <v>170.7</v>
      </c>
      <c r="J7" t="n">
        <v>121.9</v>
      </c>
      <c r="K7" t="n">
        <v>158</v>
      </c>
      <c r="L7" t="n">
        <v>196.3</v>
      </c>
      <c r="M7" t="n">
        <v>140.1</v>
      </c>
      <c r="N7" t="n">
        <v>184.7</v>
      </c>
      <c r="O7" t="n">
        <v>143.9</v>
      </c>
      <c r="P7" t="n">
        <v>205.8</v>
      </c>
      <c r="Q7" t="n">
        <v>136.2</v>
      </c>
      <c r="R7" t="n">
        <v>141.6</v>
      </c>
      <c r="S7" t="n">
        <v>110.4</v>
      </c>
      <c r="T7" t="n">
        <v>201.6</v>
      </c>
      <c r="U7" t="n">
        <v>204.3</v>
      </c>
      <c r="V7" t="n">
        <v>133.4</v>
      </c>
      <c r="W7" t="n">
        <v>205.7</v>
      </c>
      <c r="X7" t="n">
        <v>148.7</v>
      </c>
      <c r="Y7" t="n">
        <v>153</v>
      </c>
      <c r="Z7">
        <f>SUM(N7:Y7)/SUM(B7:M7)</f>
        <v/>
      </c>
    </row>
    <row r="8">
      <c r="A8" t="inlineStr">
        <is>
          <t>Eta</t>
        </is>
      </c>
      <c r="B8" t="n">
        <v>159.5</v>
      </c>
      <c r="C8" t="n">
        <v>134.6</v>
      </c>
      <c r="D8" t="n">
        <v>179.1</v>
      </c>
      <c r="E8" t="n">
        <v>181.8</v>
      </c>
      <c r="F8" t="n">
        <v>146.2</v>
      </c>
      <c r="G8" t="n">
        <v>148.9</v>
      </c>
      <c r="H8" t="n">
        <v>126.3</v>
      </c>
      <c r="I8" t="n">
        <v>180.2</v>
      </c>
      <c r="J8" t="n">
        <v>125.2</v>
      </c>
      <c r="K8" t="n">
        <v>164.2</v>
      </c>
      <c r="L8" t="n">
        <v>198.4</v>
      </c>
      <c r="M8" t="n">
        <v>199</v>
      </c>
      <c r="N8" t="n">
        <v>202.8</v>
      </c>
      <c r="O8" t="n">
        <v>190.3</v>
      </c>
      <c r="P8" t="n">
        <v>192.3</v>
      </c>
      <c r="Q8" t="n">
        <v>170.7</v>
      </c>
      <c r="R8" t="n">
        <v>142</v>
      </c>
      <c r="S8" t="n">
        <v>188.2</v>
      </c>
      <c r="T8" t="n">
        <v>129.7</v>
      </c>
      <c r="U8" t="n">
        <v>134.7</v>
      </c>
      <c r="V8" t="n">
        <v>113.4</v>
      </c>
      <c r="W8" t="n">
        <v>142.6</v>
      </c>
      <c r="X8" t="n">
        <v>198.3</v>
      </c>
      <c r="Y8" t="n">
        <v>136.5</v>
      </c>
      <c r="Z8">
        <f>SUM(N8:Y8)/SUM(B8:M8)</f>
        <v/>
      </c>
    </row>
    <row r="9">
      <c r="A9" t="inlineStr">
        <is>
          <t>Theta</t>
        </is>
      </c>
      <c r="B9" t="n">
        <v>126.7</v>
      </c>
      <c r="C9" t="n">
        <v>159.9</v>
      </c>
      <c r="D9" t="n">
        <v>155.8</v>
      </c>
      <c r="E9" t="n">
        <v>153.3</v>
      </c>
      <c r="F9" t="n">
        <v>173.9</v>
      </c>
      <c r="G9" t="n">
        <v>187.8</v>
      </c>
      <c r="H9" t="n">
        <v>129.7</v>
      </c>
      <c r="I9" t="n">
        <v>143.5</v>
      </c>
      <c r="J9" t="n">
        <v>149.8</v>
      </c>
      <c r="K9" t="n">
        <v>135.9</v>
      </c>
      <c r="L9" t="n">
        <v>139.6</v>
      </c>
      <c r="M9" t="n">
        <v>190.7</v>
      </c>
      <c r="N9" t="n">
        <v>119.6</v>
      </c>
      <c r="O9" t="n">
        <v>181</v>
      </c>
      <c r="P9" t="n">
        <v>133.4</v>
      </c>
      <c r="Q9" t="n">
        <v>172</v>
      </c>
      <c r="R9" t="n">
        <v>184.8</v>
      </c>
      <c r="S9" t="n">
        <v>176.4</v>
      </c>
      <c r="T9" t="n">
        <v>194.1</v>
      </c>
      <c r="U9" t="n">
        <v>166.7</v>
      </c>
      <c r="V9" t="n">
        <v>183.8</v>
      </c>
      <c r="W9" t="n">
        <v>134.7</v>
      </c>
      <c r="X9" t="n">
        <v>125.3</v>
      </c>
      <c r="Y9" t="n">
        <v>167.8</v>
      </c>
      <c r="Z9">
        <f>SUM(N9:Y9)/SUM(B9:M9)</f>
        <v/>
      </c>
    </row>
    <row r="10">
      <c r="A10" t="inlineStr">
        <is>
          <t>Iota</t>
        </is>
      </c>
      <c r="B10" t="n">
        <v>146.1</v>
      </c>
      <c r="C10" t="n">
        <v>199.4</v>
      </c>
      <c r="D10" t="n">
        <v>138.5</v>
      </c>
      <c r="E10" t="n">
        <v>172.3</v>
      </c>
      <c r="F10" t="n">
        <v>128.2</v>
      </c>
      <c r="G10" t="n">
        <v>185.5</v>
      </c>
      <c r="H10" t="n">
        <v>193.2</v>
      </c>
      <c r="I10" t="n">
        <v>143.5</v>
      </c>
      <c r="J10" t="n">
        <v>135.2</v>
      </c>
      <c r="K10" t="n">
        <v>166.7</v>
      </c>
      <c r="L10" t="n">
        <v>149.8</v>
      </c>
      <c r="M10" t="n">
        <v>155.9</v>
      </c>
      <c r="N10" t="n">
        <v>149.6</v>
      </c>
      <c r="O10" t="n">
        <v>160.7</v>
      </c>
      <c r="P10" t="n">
        <v>190.8</v>
      </c>
      <c r="Q10" t="n">
        <v>209.1</v>
      </c>
      <c r="R10" t="n">
        <v>157.5</v>
      </c>
      <c r="S10" t="n">
        <v>194.1</v>
      </c>
      <c r="T10" t="n">
        <v>114</v>
      </c>
      <c r="U10" t="n">
        <v>121.9</v>
      </c>
      <c r="V10" t="n">
        <v>207.3</v>
      </c>
      <c r="W10" t="n">
        <v>203</v>
      </c>
      <c r="X10" t="n">
        <v>196.6</v>
      </c>
      <c r="Y10" t="n">
        <v>136</v>
      </c>
      <c r="Z10">
        <f>SUM(N10:Y10)/SUM(B10:M10)</f>
        <v/>
      </c>
    </row>
    <row r="11">
      <c r="A11" t="inlineStr">
        <is>
          <t>Kappa</t>
        </is>
      </c>
      <c r="B11" t="n">
        <v>182.2</v>
      </c>
      <c r="C11" t="n">
        <v>128.5</v>
      </c>
      <c r="D11" t="n">
        <v>169.6</v>
      </c>
      <c r="E11" t="n">
        <v>149.5</v>
      </c>
      <c r="F11" t="n">
        <v>136.3</v>
      </c>
      <c r="G11" t="n">
        <v>168</v>
      </c>
      <c r="H11" t="n">
        <v>136.3</v>
      </c>
      <c r="I11" t="n">
        <v>146.2</v>
      </c>
      <c r="J11" t="n">
        <v>134.8</v>
      </c>
      <c r="K11" t="n">
        <v>136.3</v>
      </c>
      <c r="L11" t="n">
        <v>163.8</v>
      </c>
      <c r="M11" t="n">
        <v>128.1</v>
      </c>
      <c r="N11" t="n">
        <v>204.6</v>
      </c>
      <c r="O11" t="n">
        <v>169.6</v>
      </c>
      <c r="P11" t="n">
        <v>131.8</v>
      </c>
      <c r="Q11" t="n">
        <v>124.1</v>
      </c>
      <c r="R11" t="n">
        <v>135.5</v>
      </c>
      <c r="S11" t="n">
        <v>175.2</v>
      </c>
      <c r="T11" t="n">
        <v>111.1</v>
      </c>
      <c r="U11" t="n">
        <v>177.8</v>
      </c>
      <c r="V11" t="n">
        <v>141.2</v>
      </c>
      <c r="W11" t="n">
        <v>189.5</v>
      </c>
      <c r="X11" t="n">
        <v>116.3</v>
      </c>
      <c r="Y11" t="n">
        <v>149.5</v>
      </c>
      <c r="Z11">
        <f>SUM(N11:Y11)/SUM(B11:M11)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Merchant Price</t>
        </is>
      </c>
      <c r="C1" s="1" t="inlineStr">
        <is>
          <t>Hybrid Floor</t>
        </is>
      </c>
    </row>
    <row r="2">
      <c r="A2" t="inlineStr">
        <is>
          <t>Jan</t>
        </is>
      </c>
      <c r="B2" t="n">
        <v>67.01000000000001</v>
      </c>
      <c r="C2" t="n">
        <v>47.78</v>
      </c>
    </row>
    <row r="3">
      <c r="A3" t="inlineStr">
        <is>
          <t>Feb</t>
        </is>
      </c>
      <c r="B3" t="n">
        <v>48.65</v>
      </c>
      <c r="C3" t="n">
        <v>38.27</v>
      </c>
    </row>
    <row r="4">
      <c r="A4" t="inlineStr">
        <is>
          <t>Mar</t>
        </is>
      </c>
      <c r="B4" t="n">
        <v>72.81999999999999</v>
      </c>
      <c r="C4" t="n">
        <v>43.2</v>
      </c>
    </row>
    <row r="5">
      <c r="A5" t="inlineStr">
        <is>
          <t>Apr</t>
        </is>
      </c>
      <c r="B5" t="n">
        <v>56.33</v>
      </c>
      <c r="C5" t="n">
        <v>41.15</v>
      </c>
    </row>
    <row r="6">
      <c r="A6" t="inlineStr">
        <is>
          <t>May</t>
        </is>
      </c>
      <c r="B6" t="n">
        <v>83.13</v>
      </c>
      <c r="C6" t="n">
        <v>41.25</v>
      </c>
    </row>
    <row r="7">
      <c r="A7" t="inlineStr">
        <is>
          <t>Jun</t>
        </is>
      </c>
      <c r="B7" t="n">
        <v>67.66</v>
      </c>
      <c r="C7" t="n">
        <v>42.14</v>
      </c>
    </row>
    <row r="8">
      <c r="A8" t="inlineStr">
        <is>
          <t>Jul</t>
        </is>
      </c>
      <c r="B8" t="n">
        <v>61.66</v>
      </c>
      <c r="C8" t="n">
        <v>52.28</v>
      </c>
    </row>
    <row r="9">
      <c r="A9" t="inlineStr">
        <is>
          <t>Aug</t>
        </is>
      </c>
      <c r="B9" t="n">
        <v>84.86</v>
      </c>
      <c r="C9" t="n">
        <v>42.28</v>
      </c>
    </row>
    <row r="10">
      <c r="A10" t="inlineStr">
        <is>
          <t>Sep</t>
        </is>
      </c>
      <c r="B10" t="n">
        <v>52.89</v>
      </c>
      <c r="C10" t="n">
        <v>49.56</v>
      </c>
    </row>
    <row r="11">
      <c r="A11" t="inlineStr">
        <is>
          <t>Oct</t>
        </is>
      </c>
      <c r="B11" t="n">
        <v>53.15</v>
      </c>
      <c r="C11" t="n">
        <v>35.12</v>
      </c>
    </row>
    <row r="12">
      <c r="A12" t="inlineStr">
        <is>
          <t>Nov</t>
        </is>
      </c>
      <c r="B12" t="n">
        <v>81.06999999999999</v>
      </c>
      <c r="C12" t="n">
        <v>43.48</v>
      </c>
    </row>
    <row r="13">
      <c r="A13" t="inlineStr">
        <is>
          <t>Dec</t>
        </is>
      </c>
      <c r="B13" t="n">
        <v>77.81</v>
      </c>
      <c r="C13" t="n">
        <v>43.12</v>
      </c>
    </row>
    <row r="20">
      <c r="A20" t="inlineStr">
        <is>
          <t>Dynamic Jan Merchant (via INDIRECT)</t>
        </is>
      </c>
      <c r="B20">
        <f>INDIRECT(DefaultPriceCurveSheet&amp;"!B2")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O&amp;M Annual</t>
        </is>
      </c>
      <c r="C1" s="1" t="inlineStr">
        <is>
          <t>Insurance</t>
        </is>
      </c>
      <c r="D1" s="1" t="inlineStr">
        <is>
          <t>Land Lease</t>
        </is>
      </c>
      <c r="E1" s="1" t="inlineStr">
        <is>
          <t>Property Tax</t>
        </is>
      </c>
      <c r="F1" s="1" t="inlineStr">
        <is>
          <t>Asset Mgmt Fee</t>
        </is>
      </c>
      <c r="G1" s="1" t="inlineStr">
        <is>
          <t>Total Opex</t>
        </is>
      </c>
    </row>
    <row r="2">
      <c r="A2" t="inlineStr">
        <is>
          <t>Alpha</t>
        </is>
      </c>
      <c r="B2" t="n">
        <v>175611</v>
      </c>
      <c r="C2" t="n">
        <v>25102</v>
      </c>
      <c r="D2" t="n">
        <v>30652</v>
      </c>
      <c r="E2" t="n">
        <v>19259</v>
      </c>
      <c r="F2" t="n">
        <v>8243</v>
      </c>
      <c r="G2">
        <f>SUM(B2:F2)</f>
        <v/>
      </c>
    </row>
    <row r="3">
      <c r="A3" t="inlineStr">
        <is>
          <t>Beta</t>
        </is>
      </c>
      <c r="B3" t="n">
        <v>93551</v>
      </c>
      <c r="C3" t="n">
        <v>28073</v>
      </c>
      <c r="D3" t="n">
        <v>29338</v>
      </c>
      <c r="E3" t="n">
        <v>35993</v>
      </c>
      <c r="F3" t="n">
        <v>14499</v>
      </c>
      <c r="G3">
        <f>SUM(B3:F3)</f>
        <v/>
      </c>
    </row>
    <row r="4">
      <c r="A4" t="inlineStr">
        <is>
          <t>Gamma</t>
        </is>
      </c>
      <c r="B4" t="n">
        <v>103338</v>
      </c>
      <c r="C4" t="n">
        <v>28771</v>
      </c>
      <c r="D4" t="n">
        <v>44303</v>
      </c>
      <c r="E4" t="n">
        <v>39158</v>
      </c>
      <c r="F4" t="n">
        <v>16265</v>
      </c>
      <c r="G4">
        <f>SUM(B4:F4)</f>
        <v/>
      </c>
    </row>
    <row r="5">
      <c r="A5" t="inlineStr">
        <is>
          <t>Delta</t>
        </is>
      </c>
      <c r="B5" t="n">
        <v>125006</v>
      </c>
      <c r="C5" t="n">
        <v>14780</v>
      </c>
      <c r="D5" t="n">
        <v>42802</v>
      </c>
      <c r="E5" t="n">
        <v>24283</v>
      </c>
      <c r="F5" t="n">
        <v>10651</v>
      </c>
      <c r="G5">
        <f>SUM(B5:F5)</f>
        <v/>
      </c>
    </row>
    <row r="6">
      <c r="A6" t="inlineStr">
        <is>
          <t>Epsilon</t>
        </is>
      </c>
      <c r="B6" t="n">
        <v>216618</v>
      </c>
      <c r="C6" t="n">
        <v>15629</v>
      </c>
      <c r="D6" t="n">
        <v>24397</v>
      </c>
      <c r="E6" t="n">
        <v>18564</v>
      </c>
      <c r="F6" t="n">
        <v>14287</v>
      </c>
      <c r="G6">
        <f>SUM(B6:F6)</f>
        <v/>
      </c>
    </row>
    <row r="7">
      <c r="A7" t="inlineStr">
        <is>
          <t>Zeta</t>
        </is>
      </c>
      <c r="B7" t="n">
        <v>208584</v>
      </c>
      <c r="C7" t="n">
        <v>34692</v>
      </c>
      <c r="D7" t="n">
        <v>32932</v>
      </c>
      <c r="E7" t="n">
        <v>24883</v>
      </c>
      <c r="F7" t="n">
        <v>10075</v>
      </c>
      <c r="G7">
        <f>SUM(B7:F7)</f>
        <v/>
      </c>
    </row>
    <row r="8">
      <c r="A8" t="inlineStr">
        <is>
          <t>Eta</t>
        </is>
      </c>
      <c r="B8" t="n">
        <v>91402</v>
      </c>
      <c r="C8" t="n">
        <v>39910</v>
      </c>
      <c r="D8" t="n">
        <v>51636</v>
      </c>
      <c r="E8" t="n">
        <v>25306</v>
      </c>
      <c r="F8" t="n">
        <v>8874</v>
      </c>
      <c r="G8">
        <f>SUM(B8:F8)</f>
        <v/>
      </c>
    </row>
    <row r="9">
      <c r="A9" t="inlineStr">
        <is>
          <t>Theta</t>
        </is>
      </c>
      <c r="B9" t="n">
        <v>239290</v>
      </c>
      <c r="C9" t="n">
        <v>30852</v>
      </c>
      <c r="D9" t="n">
        <v>45421</v>
      </c>
      <c r="E9" t="n">
        <v>17827</v>
      </c>
      <c r="F9" t="n">
        <v>19670</v>
      </c>
      <c r="G9">
        <f>SUM(B9:F9)</f>
        <v/>
      </c>
    </row>
    <row r="10">
      <c r="A10" t="inlineStr">
        <is>
          <t>Iota</t>
        </is>
      </c>
      <c r="B10" t="n">
        <v>242619</v>
      </c>
      <c r="C10" t="n">
        <v>32551</v>
      </c>
      <c r="D10" t="n">
        <v>30503</v>
      </c>
      <c r="E10" t="n">
        <v>35982</v>
      </c>
      <c r="F10" t="n">
        <v>11638</v>
      </c>
      <c r="G10">
        <f>SUM(B10:F10)</f>
        <v/>
      </c>
    </row>
    <row r="11">
      <c r="A11" t="inlineStr">
        <is>
          <t>Kappa</t>
        </is>
      </c>
      <c r="B11" t="n">
        <v>242805</v>
      </c>
      <c r="C11" t="n">
        <v>23254</v>
      </c>
      <c r="D11" t="n">
        <v>32852</v>
      </c>
      <c r="E11" t="n">
        <v>42170</v>
      </c>
      <c r="F11" t="n">
        <v>15748</v>
      </c>
      <c r="G11">
        <f>SUM(B11:F11)</f>
        <v/>
      </c>
    </row>
    <row r="13">
      <c r="A13" t="inlineStr">
        <is>
          <t>NEXT YEAR OPEX</t>
        </is>
      </c>
    </row>
    <row r="14">
      <c r="A14" t="inlineStr">
        <is>
          <t>Alpha</t>
        </is>
      </c>
      <c r="G14">
        <f>G2*(1+OM_EscalationRate)</f>
        <v/>
      </c>
    </row>
    <row r="15">
      <c r="A15" t="inlineStr">
        <is>
          <t>Beta</t>
        </is>
      </c>
      <c r="G15">
        <f>G3*(1+OM_EscalationRate)</f>
        <v/>
      </c>
    </row>
    <row r="16">
      <c r="A16" t="inlineStr">
        <is>
          <t>Gamma</t>
        </is>
      </c>
      <c r="G16">
        <f>G4*(1+Gamma_EscalationCap)</f>
        <v/>
      </c>
    </row>
    <row r="17">
      <c r="A17" t="inlineStr">
        <is>
          <t>Delta</t>
        </is>
      </c>
      <c r="G17">
        <f>G5*(1+OM_EscalationRate)</f>
        <v/>
      </c>
    </row>
    <row r="18">
      <c r="A18" t="inlineStr">
        <is>
          <t>Epsilon</t>
        </is>
      </c>
      <c r="G18">
        <f>G6*(1+OM_EscalationRate)</f>
        <v/>
      </c>
    </row>
    <row r="19">
      <c r="A19" t="inlineStr">
        <is>
          <t>Zeta</t>
        </is>
      </c>
      <c r="G19">
        <f>G7*(1+OM_EscalationRate)</f>
        <v/>
      </c>
    </row>
    <row r="20">
      <c r="A20" t="inlineStr">
        <is>
          <t>Eta</t>
        </is>
      </c>
      <c r="G20">
        <f>G8*(1+OM_EscalationRate)</f>
        <v/>
      </c>
    </row>
    <row r="21">
      <c r="A21" t="inlineStr">
        <is>
          <t>Theta</t>
        </is>
      </c>
      <c r="G21">
        <f>G9*(1+OM_EscalationRate)</f>
        <v/>
      </c>
    </row>
    <row r="22">
      <c r="A22" t="inlineStr">
        <is>
          <t>Iota</t>
        </is>
      </c>
      <c r="G22">
        <f>G10*(1+OM_EscalationRate)</f>
        <v/>
      </c>
    </row>
    <row r="23">
      <c r="A23" t="inlineStr">
        <is>
          <t>Kappa</t>
        </is>
      </c>
      <c r="G23">
        <f>G11*(1+OM_EscalationRate)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2026-04-15T01:14:37Z</dcterms:created>
  <dcterms:modified xmlns:dcterms="http://purl.org/dc/terms/" xmlns:xsi="http://www.w3.org/2001/XMLSchema-instance" xsi:type="dcterms:W3CDTF">2026-04-15T01:14:37Z</dcterms:modified>
</cp:coreProperties>
</file>