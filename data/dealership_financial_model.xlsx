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New Vehicle" sheetId="3" state="visible" r:id="rId3"/>
    <sheet xmlns:r="http://schemas.openxmlformats.org/officeDocument/2006/relationships" name="Used Vehicle" sheetId="4" state="visible" r:id="rId4"/>
    <sheet xmlns:r="http://schemas.openxmlformats.org/officeDocument/2006/relationships" name="F&amp;I Detail" sheetId="5" state="visible" r:id="rId5"/>
    <sheet xmlns:r="http://schemas.openxmlformats.org/officeDocument/2006/relationships" name="Service &amp; Parts" sheetId="6" state="visible" r:id="rId6"/>
  </sheets>
  <definedNames>
    <definedName name="FloorPlanRate">Assumptions!$B$2</definedName>
    <definedName name="IncentiveRateToyota">Assumptions!$B$3</definedName>
    <definedName name="IncentiveRateHonda">Assumptions!$B$4</definedName>
    <definedName name="IncentiveRateFord">Assumptions!$B$5</definedName>
    <definedName name="FI_PVR_Target">Assumptions!$B$6</definedName>
    <definedName name="ServiceAbsorptionTarget">Assumptions!$B$7</definedName>
    <definedName name="TaxRate">Assumptions!$B$8</definedName>
    <definedName name="OwnerCompensationAddback">Assumptions!$B$10</definedName>
    <definedName name="OneTimeLegalCosts">Assumptions!$B$11</definedName>
    <definedName name="OverheadBase">Assumptions!$B$14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YTD</t>
        </is>
      </c>
      <c r="O1" s="1" t="inlineStr">
        <is>
          <t>Budget</t>
        </is>
      </c>
    </row>
    <row r="2">
      <c r="A2" t="inlineStr">
        <is>
          <t>New Vehicle Sales</t>
        </is>
      </c>
      <c r="B2" t="n">
        <v>126736</v>
      </c>
      <c r="C2" t="n">
        <v>154062</v>
      </c>
      <c r="D2" t="n">
        <v>175089</v>
      </c>
      <c r="E2" t="n">
        <v>169177</v>
      </c>
      <c r="F2" t="n">
        <v>120113</v>
      </c>
      <c r="G2" t="n">
        <v>141543</v>
      </c>
      <c r="H2" t="n">
        <v>174281</v>
      </c>
      <c r="I2" t="n">
        <v>116714</v>
      </c>
      <c r="J2" t="n">
        <v>122225</v>
      </c>
      <c r="K2" t="n">
        <v>148946</v>
      </c>
      <c r="L2" t="n">
        <v>101019</v>
      </c>
      <c r="M2" t="n">
        <v>110379</v>
      </c>
    </row>
    <row r="3">
      <c r="A3" t="inlineStr">
        <is>
          <t>Used Vehicle Sales</t>
        </is>
      </c>
      <c r="B3" t="n">
        <v>95903</v>
      </c>
      <c r="C3" t="n">
        <v>90434</v>
      </c>
      <c r="D3" t="n">
        <v>61629</v>
      </c>
      <c r="E3" t="n">
        <v>80484</v>
      </c>
      <c r="F3" t="n">
        <v>112719</v>
      </c>
      <c r="G3" t="n">
        <v>61340</v>
      </c>
      <c r="H3" t="n">
        <v>170473</v>
      </c>
      <c r="I3" t="n">
        <v>78535</v>
      </c>
      <c r="J3" t="n">
        <v>80211</v>
      </c>
      <c r="K3" t="n">
        <v>86723</v>
      </c>
      <c r="L3" t="n">
        <v>156929</v>
      </c>
      <c r="M3" t="n">
        <v>102482</v>
      </c>
    </row>
    <row r="4">
      <c r="A4" t="inlineStr">
        <is>
          <t>F&amp;I Income</t>
        </is>
      </c>
      <c r="B4" t="n">
        <v>184556</v>
      </c>
      <c r="C4" t="n">
        <v>167530</v>
      </c>
      <c r="D4" t="n">
        <v>186445</v>
      </c>
      <c r="E4" t="n">
        <v>104186</v>
      </c>
      <c r="F4" t="n">
        <v>56352</v>
      </c>
      <c r="G4" t="n">
        <v>80886</v>
      </c>
      <c r="H4" t="n">
        <v>107659</v>
      </c>
      <c r="I4" t="n">
        <v>89633</v>
      </c>
      <c r="J4" t="n">
        <v>124602</v>
      </c>
      <c r="K4" t="n">
        <v>77039</v>
      </c>
      <c r="L4" t="n">
        <v>109237</v>
      </c>
      <c r="M4" t="n">
        <v>33708</v>
      </c>
    </row>
    <row r="5">
      <c r="A5" t="inlineStr">
        <is>
          <t>Service Revenue</t>
        </is>
      </c>
      <c r="B5" t="n">
        <v>170020</v>
      </c>
      <c r="C5" t="n">
        <v>63182</v>
      </c>
      <c r="D5" t="n">
        <v>101909</v>
      </c>
      <c r="E5" t="n">
        <v>41931</v>
      </c>
      <c r="F5" t="n">
        <v>44293</v>
      </c>
      <c r="G5" t="n">
        <v>175059</v>
      </c>
      <c r="H5" t="n">
        <v>106581</v>
      </c>
      <c r="I5" t="n">
        <v>63103</v>
      </c>
      <c r="J5" t="n">
        <v>197213</v>
      </c>
      <c r="K5" t="n">
        <v>158680</v>
      </c>
      <c r="L5" t="n">
        <v>56892</v>
      </c>
      <c r="M5" t="n">
        <v>33215</v>
      </c>
    </row>
    <row r="6">
      <c r="A6" t="inlineStr">
        <is>
          <t>Parts Revenue</t>
        </is>
      </c>
      <c r="B6" t="n">
        <v>180487</v>
      </c>
      <c r="C6" t="n">
        <v>104537</v>
      </c>
      <c r="D6" t="n">
        <v>153049</v>
      </c>
      <c r="E6" t="n">
        <v>155492</v>
      </c>
      <c r="F6" t="n">
        <v>145466</v>
      </c>
      <c r="G6" t="n">
        <v>119314</v>
      </c>
      <c r="H6" t="n">
        <v>78329</v>
      </c>
      <c r="I6" t="n">
        <v>43468</v>
      </c>
      <c r="J6" t="n">
        <v>96185</v>
      </c>
      <c r="K6" t="n">
        <v>155233</v>
      </c>
      <c r="L6" t="n">
        <v>59907</v>
      </c>
      <c r="M6" t="n">
        <v>47129</v>
      </c>
    </row>
    <row r="10">
      <c r="A10" t="inlineStr">
        <is>
          <t>Total Revenue</t>
        </is>
      </c>
      <c r="B10">
        <f>SUM(B2:B6)</f>
        <v/>
      </c>
      <c r="C10">
        <f>SUM(C2:C6)</f>
        <v/>
      </c>
      <c r="D10">
        <f>SUM(D2:D6)</f>
        <v/>
      </c>
      <c r="E10">
        <f>SUM(E2:E6)</f>
        <v/>
      </c>
      <c r="F10">
        <f>SUM(F2:F6)</f>
        <v/>
      </c>
      <c r="G10">
        <f>SUM(G2:G6)</f>
        <v/>
      </c>
      <c r="H10">
        <f>SUM(H2:H6)</f>
        <v/>
      </c>
      <c r="I10">
        <f>SUM(I2:I6)</f>
        <v/>
      </c>
      <c r="J10">
        <f>SUM(J2:J6)</f>
        <v/>
      </c>
      <c r="K10">
        <f>SUM(K2:K6)</f>
        <v/>
      </c>
      <c r="L10">
        <f>SUM(L2:L6)</f>
        <v/>
      </c>
      <c r="M10">
        <f>SUM(M2:M6)</f>
        <v/>
      </c>
    </row>
    <row r="12">
      <c r="A12" t="inlineStr">
        <is>
          <t>New Vehicle Gross</t>
        </is>
      </c>
      <c r="B12">
        <f>'New Vehicle'!B65</f>
        <v/>
      </c>
      <c r="C12">
        <f>'New Vehicle'!B66</f>
        <v/>
      </c>
      <c r="D12">
        <f>'New Vehicle'!B67</f>
        <v/>
      </c>
      <c r="E12">
        <f>'New Vehicle'!B68</f>
        <v/>
      </c>
      <c r="F12">
        <f>'New Vehicle'!B69</f>
        <v/>
      </c>
      <c r="G12">
        <f>'New Vehicle'!B70</f>
        <v/>
      </c>
      <c r="H12">
        <f>'New Vehicle'!B71</f>
        <v/>
      </c>
      <c r="I12">
        <f>'New Vehicle'!B72</f>
        <v/>
      </c>
      <c r="J12">
        <f>'New Vehicle'!B73</f>
        <v/>
      </c>
      <c r="K12">
        <f>'New Vehicle'!B74</f>
        <v/>
      </c>
      <c r="L12">
        <f>'New Vehicle'!B75</f>
        <v/>
      </c>
      <c r="M12">
        <f>'New Vehicle'!B76</f>
        <v/>
      </c>
    </row>
    <row r="13">
      <c r="A13" t="inlineStr">
        <is>
          <t>Used Vehicle Gross</t>
        </is>
      </c>
      <c r="B13">
        <f>'Used Vehicle'!B45</f>
        <v/>
      </c>
      <c r="C13">
        <f>'Used Vehicle'!B46</f>
        <v/>
      </c>
      <c r="D13">
        <f>'Used Vehicle'!B47</f>
        <v/>
      </c>
      <c r="E13">
        <f>'Used Vehicle'!B48</f>
        <v/>
      </c>
      <c r="F13">
        <f>'Used Vehicle'!B49</f>
        <v/>
      </c>
      <c r="G13">
        <f>'Used Vehicle'!B50</f>
        <v/>
      </c>
      <c r="H13">
        <f>'Used Vehicle'!B51</f>
        <v/>
      </c>
      <c r="I13">
        <f>'Used Vehicle'!B52</f>
        <v/>
      </c>
      <c r="J13">
        <f>'Used Vehicle'!B53</f>
        <v/>
      </c>
      <c r="K13">
        <f>'Used Vehicle'!B54</f>
        <v/>
      </c>
      <c r="L13">
        <f>'Used Vehicle'!B55</f>
        <v/>
      </c>
      <c r="M13">
        <f>'Used Vehicle'!B56</f>
        <v/>
      </c>
    </row>
    <row r="14">
      <c r="A14" t="inlineStr">
        <is>
          <t>F&amp;I Gross</t>
        </is>
      </c>
      <c r="B14">
        <f>'F&amp;I Detail'!B60</f>
        <v/>
      </c>
      <c r="C14">
        <f>'F&amp;I Detail'!B61</f>
        <v/>
      </c>
      <c r="D14">
        <f>'F&amp;I Detail'!B62</f>
        <v/>
      </c>
      <c r="E14">
        <f>'F&amp;I Detail'!B63</f>
        <v/>
      </c>
      <c r="F14">
        <f>'F&amp;I Detail'!B64</f>
        <v/>
      </c>
      <c r="G14">
        <f>'F&amp;I Detail'!B65</f>
        <v/>
      </c>
      <c r="H14">
        <f>'F&amp;I Detail'!B66</f>
        <v/>
      </c>
      <c r="I14">
        <f>'F&amp;I Detail'!B67</f>
        <v/>
      </c>
      <c r="J14">
        <f>'F&amp;I Detail'!B68</f>
        <v/>
      </c>
      <c r="K14">
        <f>'F&amp;I Detail'!B69</f>
        <v/>
      </c>
      <c r="L14">
        <f>'F&amp;I Detail'!B70</f>
        <v/>
      </c>
      <c r="M14">
        <f>'F&amp;I Detail'!B71</f>
        <v/>
      </c>
    </row>
    <row r="15">
      <c r="A15" t="inlineStr">
        <is>
          <t>Service &amp; Parts Gross</t>
        </is>
      </c>
      <c r="B15">
        <f>'Service &amp; Parts'!B60</f>
        <v/>
      </c>
      <c r="C15">
        <f>'Service &amp; Parts'!B61</f>
        <v/>
      </c>
      <c r="D15">
        <f>'Service &amp; Parts'!B62</f>
        <v/>
      </c>
      <c r="E15">
        <f>'Service &amp; Parts'!B63</f>
        <v/>
      </c>
      <c r="F15">
        <f>'Service &amp; Parts'!B64</f>
        <v/>
      </c>
      <c r="G15">
        <f>'Service &amp; Parts'!B65</f>
        <v/>
      </c>
      <c r="H15">
        <f>'Service &amp; Parts'!B66</f>
        <v/>
      </c>
      <c r="I15">
        <f>'Service &amp; Parts'!B67</f>
        <v/>
      </c>
      <c r="J15">
        <f>'Service &amp; Parts'!B68</f>
        <v/>
      </c>
      <c r="K15">
        <f>'Service &amp; Parts'!B69</f>
        <v/>
      </c>
      <c r="L15">
        <f>'Service &amp; Parts'!B70</f>
        <v/>
      </c>
      <c r="M15">
        <f>'Service &amp; Parts'!B71</f>
        <v/>
      </c>
    </row>
    <row r="18">
      <c r="A18" t="inlineStr">
        <is>
          <t>Total Gross Profit</t>
        </is>
      </c>
      <c r="B18">
        <f>SUM(B12:B15)</f>
        <v/>
      </c>
      <c r="C18">
        <f>SUM(C12:C15)</f>
        <v/>
      </c>
      <c r="D18">
        <f>SUM(D12:D15)</f>
        <v/>
      </c>
      <c r="E18">
        <f>SUM(E12:E15)</f>
        <v/>
      </c>
      <c r="F18">
        <f>SUM(F12:F15)</f>
        <v/>
      </c>
      <c r="G18">
        <f>SUM(G12:G15)</f>
        <v/>
      </c>
      <c r="H18">
        <f>SUM(H12:H15)</f>
        <v/>
      </c>
      <c r="I18">
        <f>SUM(I12:I15)</f>
        <v/>
      </c>
      <c r="J18">
        <f>SUM(J12:J15)</f>
        <v/>
      </c>
      <c r="K18">
        <f>SUM(K12:K15)</f>
        <v/>
      </c>
      <c r="L18">
        <f>SUM(L12:L15)</f>
        <v/>
      </c>
      <c r="M18">
        <f>SUM(M12:M15)</f>
        <v/>
      </c>
    </row>
    <row r="22">
      <c r="A22" t="inlineStr">
        <is>
          <t>Salaries</t>
        </is>
      </c>
      <c r="B22" t="n">
        <v>18130</v>
      </c>
      <c r="C22" t="n">
        <v>21113</v>
      </c>
      <c r="D22" t="n">
        <v>7427</v>
      </c>
      <c r="E22" t="n">
        <v>23907</v>
      </c>
      <c r="F22" t="n">
        <v>25625</v>
      </c>
      <c r="G22" t="n">
        <v>27493</v>
      </c>
      <c r="H22" t="n">
        <v>6756</v>
      </c>
      <c r="I22" t="n">
        <v>9971</v>
      </c>
      <c r="J22" t="n">
        <v>9888</v>
      </c>
      <c r="K22" t="n">
        <v>23443</v>
      </c>
      <c r="L22" t="n">
        <v>14956</v>
      </c>
      <c r="M22" t="n">
        <v>7791</v>
      </c>
    </row>
    <row r="23">
      <c r="A23" t="inlineStr">
        <is>
          <t>Floor Plan Interest</t>
        </is>
      </c>
      <c r="B23" t="n">
        <v>13132</v>
      </c>
      <c r="C23" t="n">
        <v>8881</v>
      </c>
      <c r="D23" t="n">
        <v>23286</v>
      </c>
      <c r="E23" t="n">
        <v>18637</v>
      </c>
      <c r="F23" t="n">
        <v>24867</v>
      </c>
      <c r="G23" t="n">
        <v>24533</v>
      </c>
      <c r="H23" t="n">
        <v>25264</v>
      </c>
      <c r="I23" t="n">
        <v>12395</v>
      </c>
      <c r="J23" t="n">
        <v>22123</v>
      </c>
      <c r="K23" t="n">
        <v>17464</v>
      </c>
      <c r="L23" t="n">
        <v>19762</v>
      </c>
      <c r="M23" t="n">
        <v>19507</v>
      </c>
    </row>
    <row r="24">
      <c r="A24" t="inlineStr">
        <is>
          <t>Advertising</t>
        </is>
      </c>
      <c r="B24" t="n">
        <v>14743</v>
      </c>
      <c r="C24" t="n">
        <v>24284</v>
      </c>
      <c r="D24" t="n">
        <v>19051</v>
      </c>
      <c r="E24" t="n">
        <v>15006</v>
      </c>
      <c r="F24" t="n">
        <v>23632</v>
      </c>
      <c r="G24" t="n">
        <v>25349</v>
      </c>
      <c r="H24" t="n">
        <v>6973</v>
      </c>
      <c r="I24" t="n">
        <v>24976</v>
      </c>
      <c r="J24" t="n">
        <v>29251</v>
      </c>
      <c r="K24" t="n">
        <v>8251</v>
      </c>
      <c r="L24" t="n">
        <v>29993</v>
      </c>
      <c r="M24" t="n">
        <v>11808</v>
      </c>
    </row>
    <row r="25">
      <c r="A25" t="inlineStr">
        <is>
          <t>Rent</t>
        </is>
      </c>
      <c r="B25" t="n">
        <v>25496</v>
      </c>
      <c r="C25" t="n">
        <v>11914</v>
      </c>
      <c r="D25" t="n">
        <v>13671</v>
      </c>
      <c r="E25" t="n">
        <v>26640</v>
      </c>
      <c r="F25" t="n">
        <v>7660</v>
      </c>
      <c r="G25" t="n">
        <v>10146</v>
      </c>
      <c r="H25" t="n">
        <v>12859</v>
      </c>
      <c r="I25" t="n">
        <v>10695</v>
      </c>
      <c r="J25" t="n">
        <v>23087</v>
      </c>
      <c r="K25" t="n">
        <v>7459</v>
      </c>
      <c r="L25" t="n">
        <v>10129</v>
      </c>
      <c r="M25" t="n">
        <v>5087</v>
      </c>
    </row>
    <row r="26">
      <c r="A26" t="inlineStr">
        <is>
          <t>Utilities</t>
        </is>
      </c>
      <c r="B26" t="n">
        <v>18386</v>
      </c>
      <c r="C26" t="n">
        <v>19762</v>
      </c>
      <c r="D26" t="n">
        <v>27589</v>
      </c>
      <c r="E26" t="n">
        <v>24458</v>
      </c>
      <c r="F26" t="n">
        <v>20398</v>
      </c>
      <c r="G26" t="n">
        <v>14543</v>
      </c>
      <c r="H26" t="n">
        <v>6069</v>
      </c>
      <c r="I26" t="n">
        <v>12585</v>
      </c>
      <c r="J26" t="n">
        <v>14440</v>
      </c>
      <c r="K26" t="n">
        <v>28165</v>
      </c>
      <c r="L26" t="n">
        <v>14264</v>
      </c>
      <c r="M26" t="n">
        <v>28035</v>
      </c>
    </row>
    <row r="27">
      <c r="A27" t="inlineStr">
        <is>
          <t>Other</t>
        </is>
      </c>
      <c r="B27" t="n">
        <v>19877</v>
      </c>
      <c r="C27" t="n">
        <v>7332</v>
      </c>
      <c r="D27" t="n">
        <v>27524</v>
      </c>
      <c r="E27" t="n">
        <v>12648</v>
      </c>
      <c r="F27" t="n">
        <v>13668</v>
      </c>
      <c r="G27" t="n">
        <v>25481</v>
      </c>
      <c r="H27" t="n">
        <v>24326</v>
      </c>
      <c r="I27" t="n">
        <v>26665</v>
      </c>
      <c r="J27" t="n">
        <v>11482</v>
      </c>
      <c r="K27" t="n">
        <v>18930</v>
      </c>
      <c r="L27" t="n">
        <v>8760</v>
      </c>
      <c r="M27" t="n">
        <v>22844</v>
      </c>
    </row>
    <row r="29">
      <c r="A29" t="inlineStr">
        <is>
          <t>Total Operating Expenses</t>
        </is>
      </c>
      <c r="B29">
        <f>SUM(B22:B27)</f>
        <v/>
      </c>
      <c r="C29">
        <f>SUM(C22:C27)</f>
        <v/>
      </c>
      <c r="D29">
        <f>SUM(D22:D27)</f>
        <v/>
      </c>
      <c r="E29">
        <f>SUM(E22:E27)</f>
        <v/>
      </c>
      <c r="F29">
        <f>SUM(F22:F27)</f>
        <v/>
      </c>
      <c r="G29">
        <f>SUM(G22:G27)</f>
        <v/>
      </c>
      <c r="H29">
        <f>SUM(H22:H27)</f>
        <v/>
      </c>
      <c r="I29">
        <f>SUM(I22:I27)</f>
        <v/>
      </c>
      <c r="J29">
        <f>SUM(J22:J27)</f>
        <v/>
      </c>
      <c r="K29">
        <f>SUM(K22:K27)</f>
        <v/>
      </c>
      <c r="L29">
        <f>SUM(L22:L27)</f>
        <v/>
      </c>
      <c r="M29">
        <f>SUM(M22:M27)</f>
        <v/>
      </c>
    </row>
    <row r="30">
      <c r="A30" t="inlineStr">
        <is>
          <t>Total Overhead</t>
        </is>
      </c>
      <c r="B30">
        <f>B29+OverheadBase*'Service &amp; Parts'!B75</f>
        <v/>
      </c>
      <c r="C30">
        <f>C29+OverheadBase*'Service &amp; Parts'!B75</f>
        <v/>
      </c>
      <c r="D30">
        <f>D29+OverheadBase*'Service &amp; Parts'!B75</f>
        <v/>
      </c>
      <c r="E30">
        <f>E29+OverheadBase*'Service &amp; Parts'!B75</f>
        <v/>
      </c>
      <c r="F30">
        <f>F29+OverheadBase*'Service &amp; Parts'!B75</f>
        <v/>
      </c>
      <c r="G30">
        <f>G29+OverheadBase*'Service &amp; Parts'!B75</f>
        <v/>
      </c>
      <c r="H30">
        <f>H29+OverheadBase*'Service &amp; Parts'!B75</f>
        <v/>
      </c>
      <c r="I30">
        <f>I29+OverheadBase*'Service &amp; Parts'!B75</f>
        <v/>
      </c>
      <c r="J30">
        <f>J29+OverheadBase*'Service &amp; Parts'!B75</f>
        <v/>
      </c>
      <c r="K30">
        <f>K29+OverheadBase*'Service &amp; Parts'!B75</f>
        <v/>
      </c>
      <c r="L30">
        <f>L29+OverheadBase*'Service &amp; Parts'!B75</f>
        <v/>
      </c>
      <c r="M30">
        <f>M29+OverheadBase*'Service &amp; Parts'!B75</f>
        <v/>
      </c>
    </row>
    <row r="32">
      <c r="A32" t="inlineStr">
        <is>
          <t>Adjusted EBITDA</t>
        </is>
      </c>
      <c r="B32">
        <f>B18-B29+OwnerCompensationAddback+OneTimeLegalCosts</f>
        <v/>
      </c>
      <c r="C32">
        <f>C18-C29+OwnerCompensationAddback+OneTimeLegalCosts</f>
        <v/>
      </c>
      <c r="D32">
        <f>D18-D29+OwnerCompensationAddback+OneTimeLegalCosts</f>
        <v/>
      </c>
      <c r="E32">
        <f>E18-E29+OwnerCompensationAddback+OneTimeLegalCosts</f>
        <v/>
      </c>
      <c r="F32">
        <f>F18-F29+OwnerCompensationAddback+OneTimeLegalCosts</f>
        <v/>
      </c>
      <c r="G32">
        <f>G18-G29+OwnerCompensationAddback+OneTimeLegalCosts</f>
        <v/>
      </c>
      <c r="H32">
        <f>H18-H29+OwnerCompensationAddback+OneTimeLegalCosts</f>
        <v/>
      </c>
      <c r="I32">
        <f>I18-I29+OwnerCompensationAddback+OneTimeLegalCosts</f>
        <v/>
      </c>
      <c r="J32">
        <f>J18-J29+OwnerCompensationAddback+OneTimeLegalCosts</f>
        <v/>
      </c>
      <c r="K32">
        <f>K18-K29+OwnerCompensationAddback+OneTimeLegalCosts</f>
        <v/>
      </c>
      <c r="L32">
        <f>L18-L29+OwnerCompensationAddback+OneTimeLegalCosts</f>
        <v/>
      </c>
      <c r="M32">
        <f>M18-M29+OwnerCompensationAddback+OneTimeLegalCosts</f>
        <v/>
      </c>
    </row>
    <row r="35">
      <c r="A35" t="inlineStr">
        <is>
          <t>Net Income</t>
        </is>
      </c>
      <c r="B35">
        <f>B32*(1-TaxRate)</f>
        <v/>
      </c>
      <c r="C35">
        <f>C32*(1-TaxRate)</f>
        <v/>
      </c>
      <c r="D35">
        <f>D32*(1-TaxRate)</f>
        <v/>
      </c>
      <c r="E35">
        <f>E32*(1-TaxRate)</f>
        <v/>
      </c>
      <c r="F35">
        <f>F32*(1-TaxRate)</f>
        <v/>
      </c>
      <c r="G35">
        <f>G32*(1-TaxRate)</f>
        <v/>
      </c>
      <c r="H35">
        <f>H32*(1-TaxRate)</f>
        <v/>
      </c>
      <c r="I35">
        <f>I32*(1-TaxRate)</f>
        <v/>
      </c>
      <c r="J35">
        <f>J32*(1-TaxRate)</f>
        <v/>
      </c>
      <c r="K35">
        <f>K32*(1-TaxRate)</f>
        <v/>
      </c>
      <c r="L35">
        <f>L32*(1-TaxRate)</f>
        <v/>
      </c>
      <c r="M35">
        <f>M32*(1-TaxRate)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Effective Date</t>
        </is>
      </c>
      <c r="D1" s="1" t="inlineStr">
        <is>
          <t>Notes</t>
        </is>
      </c>
    </row>
    <row r="2">
      <c r="A2" t="inlineStr">
        <is>
          <t>FloorPlanRate</t>
        </is>
      </c>
      <c r="B2" t="n">
        <v>0.058</v>
      </c>
      <c r="C2" s="2" t="n">
        <v>45809</v>
      </c>
      <c r="D2" t="inlineStr">
        <is>
          <t>Floor plan interest annual rate</t>
        </is>
      </c>
    </row>
    <row r="3">
      <c r="A3" t="inlineStr">
        <is>
          <t>IncentiveRateToyota</t>
        </is>
      </c>
      <c r="B3" t="n">
        <v>0.021</v>
      </c>
      <c r="C3" s="2" t="n">
        <v>45884</v>
      </c>
      <c r="D3" t="inlineStr">
        <is>
          <t>OEM incentive for Toyota</t>
        </is>
      </c>
    </row>
    <row r="4">
      <c r="A4" t="inlineStr">
        <is>
          <t>IncentiveRateHonda</t>
        </is>
      </c>
      <c r="B4" t="n">
        <v>0.018</v>
      </c>
      <c r="C4" s="2" t="n">
        <v>45884</v>
      </c>
      <c r="D4" t="inlineStr">
        <is>
          <t>OEM incentive for Honda</t>
        </is>
      </c>
    </row>
    <row r="5">
      <c r="A5" t="inlineStr">
        <is>
          <t>IncentiveRateFord</t>
        </is>
      </c>
      <c r="B5" t="n">
        <v>0.025</v>
      </c>
      <c r="C5" s="2" t="n">
        <v>45884</v>
      </c>
      <c r="D5" t="inlineStr">
        <is>
          <t>OEM incentive for Ford</t>
        </is>
      </c>
    </row>
    <row r="6">
      <c r="A6" t="inlineStr">
        <is>
          <t>FI_PVR_Target</t>
        </is>
      </c>
      <c r="B6" t="n">
        <v>1600</v>
      </c>
      <c r="C6" s="2" t="n">
        <v>45667</v>
      </c>
      <c r="D6" t="inlineStr">
        <is>
          <t>Target finance &amp; insurance PVR</t>
        </is>
      </c>
    </row>
    <row r="7">
      <c r="A7" t="inlineStr">
        <is>
          <t>ServiceAbsorptionTarget</t>
        </is>
      </c>
      <c r="B7" t="n">
        <v>0.8</v>
      </c>
      <c r="C7" s="2" t="n">
        <v>44967</v>
      </c>
      <c r="D7" t="inlineStr">
        <is>
          <t>Target absorption — STALE</t>
        </is>
      </c>
    </row>
    <row r="8">
      <c r="A8" t="inlineStr">
        <is>
          <t>TaxRate</t>
        </is>
      </c>
      <c r="B8" t="n">
        <v>0.21</v>
      </c>
      <c r="C8" s="2" t="n">
        <v>45017</v>
      </c>
      <c r="D8" t="inlineStr">
        <is>
          <t>Federal tax rate — STALE</t>
        </is>
      </c>
    </row>
    <row r="9">
      <c r="A9" t="inlineStr">
        <is>
          <t>OverheadAllocationMethod</t>
        </is>
      </c>
      <c r="B9" t="inlineStr">
        <is>
          <t>revenue-weighted</t>
        </is>
      </c>
      <c r="C9" s="2" t="n">
        <v>45657</v>
      </c>
      <c r="D9" t="inlineStr">
        <is>
          <t>How overhead is allocated</t>
        </is>
      </c>
    </row>
    <row r="10">
      <c r="A10" t="inlineStr">
        <is>
          <t>OwnerCompensationAddback</t>
        </is>
      </c>
      <c r="B10" t="n">
        <v>8000</v>
      </c>
      <c r="C10" s="2" t="n">
        <v>45611</v>
      </c>
      <c r="D10" t="inlineStr">
        <is>
          <t>EBITDA addback</t>
        </is>
      </c>
    </row>
    <row r="11">
      <c r="A11" t="inlineStr">
        <is>
          <t>OneTimeLegalCosts</t>
        </is>
      </c>
      <c r="B11" t="n">
        <v>5000</v>
      </c>
      <c r="C11" s="2" t="n">
        <v>45611</v>
      </c>
      <c r="D11" t="inlineStr">
        <is>
          <t>EBITDA addback</t>
        </is>
      </c>
    </row>
    <row r="12" hidden="1">
      <c r="A12" t="inlineStr">
        <is>
          <t>DEPRECATED_FloorPlanRateOld</t>
        </is>
      </c>
      <c r="B12" t="n">
        <v>0.065</v>
      </c>
      <c r="C12" s="2" t="n">
        <v>44713</v>
      </c>
      <c r="D12" t="inlineStr">
        <is>
          <t>Old rate — DO NOT USE</t>
        </is>
      </c>
    </row>
    <row r="13" hidden="1">
      <c r="A13" t="inlineStr">
        <is>
          <t>DEPRECATED_HoldbackRate</t>
        </is>
      </c>
      <c r="B13" t="n">
        <v>0.03</v>
      </c>
      <c r="C13" s="2" t="n">
        <v>44562</v>
      </c>
      <c r="D13" t="inlineStr">
        <is>
          <t>Old holdback — hidden</t>
        </is>
      </c>
    </row>
    <row r="14">
      <c r="A14" t="inlineStr">
        <is>
          <t>OverheadBase</t>
        </is>
      </c>
      <c r="B14" t="n">
        <v>120000</v>
      </c>
      <c r="C14" s="2" t="n">
        <v>45292</v>
      </c>
      <c r="D14" t="inlineStr">
        <is>
          <t>Base overhead for absorption calc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Stock#</t>
        </is>
      </c>
      <c r="B1" s="1" t="inlineStr">
        <is>
          <t>VIN</t>
        </is>
      </c>
      <c r="C1" s="1" t="inlineStr">
        <is>
          <t>Sale Date</t>
        </is>
      </c>
      <c r="D1" s="1" t="inlineStr">
        <is>
          <t>Sale Price</t>
        </is>
      </c>
      <c r="E1" s="1" t="inlineStr">
        <is>
          <t>Invoice Cost</t>
        </is>
      </c>
      <c r="F1" s="1" t="inlineStr">
        <is>
          <t>Holdback</t>
        </is>
      </c>
      <c r="G1" s="1" t="inlineStr">
        <is>
          <t>Incentive Allocation</t>
        </is>
      </c>
      <c r="H1" s="1" t="inlineStr">
        <is>
          <t>Front Gross</t>
        </is>
      </c>
      <c r="I1" s="1" t="inlineStr">
        <is>
          <t>F&amp;I Revenue</t>
        </is>
      </c>
      <c r="J1" s="1" t="inlineStr">
        <is>
          <t>Month</t>
        </is>
      </c>
      <c r="K1" s="1" t="inlineStr">
        <is>
          <t>OEM</t>
        </is>
      </c>
    </row>
    <row r="2">
      <c r="A2" t="n">
        <v>1002</v>
      </c>
      <c r="B2" t="inlineStr">
        <is>
          <t>VIN00001002</t>
        </is>
      </c>
      <c r="C2" s="2" t="n">
        <v>46029</v>
      </c>
      <c r="D2" t="n">
        <v>34476</v>
      </c>
      <c r="E2" t="n">
        <v>32748</v>
      </c>
      <c r="F2" t="n">
        <v>654.96</v>
      </c>
      <c r="G2">
        <f>D2*IncentiveRateFord</f>
        <v/>
      </c>
      <c r="H2">
        <f>D2-E2+F2+G2</f>
        <v/>
      </c>
      <c r="I2" t="n">
        <v>1151</v>
      </c>
      <c r="J2" t="inlineStr">
        <is>
          <t>Jan</t>
        </is>
      </c>
      <c r="K2" t="inlineStr">
        <is>
          <t>Ford</t>
        </is>
      </c>
    </row>
    <row r="3">
      <c r="A3" t="n">
        <v>1003</v>
      </c>
      <c r="B3" t="inlineStr">
        <is>
          <t>VIN00001003</t>
        </is>
      </c>
      <c r="C3" s="2" t="n">
        <v>46061</v>
      </c>
      <c r="D3" t="n">
        <v>28506</v>
      </c>
      <c r="E3" t="n">
        <v>26505</v>
      </c>
      <c r="F3" t="n">
        <v>530.1</v>
      </c>
      <c r="G3">
        <f>D3*IncentiveRateToyota</f>
        <v/>
      </c>
      <c r="H3">
        <f>D3-E3+F3+G3</f>
        <v/>
      </c>
      <c r="I3" t="n">
        <v>1557</v>
      </c>
      <c r="J3" t="inlineStr">
        <is>
          <t>Feb</t>
        </is>
      </c>
      <c r="K3" t="inlineStr">
        <is>
          <t>Toyota</t>
        </is>
      </c>
    </row>
    <row r="4">
      <c r="A4" t="n">
        <v>1004</v>
      </c>
      <c r="B4" t="inlineStr">
        <is>
          <t>VIN00001004</t>
        </is>
      </c>
      <c r="C4" s="2" t="n">
        <v>46090</v>
      </c>
      <c r="D4" t="n">
        <v>26286</v>
      </c>
      <c r="E4" t="n">
        <v>23278</v>
      </c>
      <c r="F4" t="n">
        <v>465.56</v>
      </c>
      <c r="G4">
        <f>D4*IncentiveRateHonda</f>
        <v/>
      </c>
      <c r="H4">
        <f>D4-E4+F4+G4</f>
        <v/>
      </c>
      <c r="I4" t="n">
        <v>1309</v>
      </c>
      <c r="J4" t="inlineStr">
        <is>
          <t>Mar</t>
        </is>
      </c>
      <c r="K4" t="inlineStr">
        <is>
          <t>Honda</t>
        </is>
      </c>
    </row>
    <row r="5">
      <c r="A5" t="n">
        <v>1005</v>
      </c>
      <c r="B5" t="inlineStr">
        <is>
          <t>VIN00001005</t>
        </is>
      </c>
      <c r="C5" s="2" t="n">
        <v>46122</v>
      </c>
      <c r="D5" t="n">
        <v>35087</v>
      </c>
      <c r="E5" t="n">
        <v>32071</v>
      </c>
      <c r="F5" t="n">
        <v>641.42</v>
      </c>
      <c r="G5">
        <f>D5*IncentiveRateFord</f>
        <v/>
      </c>
      <c r="H5">
        <f>D5-E5+F5+G5</f>
        <v/>
      </c>
      <c r="I5" t="n">
        <v>1278</v>
      </c>
      <c r="J5" t="inlineStr">
        <is>
          <t>Apr</t>
        </is>
      </c>
      <c r="K5" t="inlineStr">
        <is>
          <t>Ford</t>
        </is>
      </c>
    </row>
    <row r="6">
      <c r="A6" t="n">
        <v>1006</v>
      </c>
      <c r="B6" t="inlineStr">
        <is>
          <t>VIN00001006</t>
        </is>
      </c>
      <c r="C6" s="2" t="n">
        <v>46153</v>
      </c>
      <c r="D6" t="n">
        <v>33674</v>
      </c>
      <c r="E6" t="n">
        <v>31310</v>
      </c>
      <c r="F6" t="n">
        <v>626.2</v>
      </c>
      <c r="G6">
        <f>D6*IncentiveRateToyota</f>
        <v/>
      </c>
      <c r="H6">
        <f>D6-E6+F6+G6</f>
        <v/>
      </c>
      <c r="I6" t="n">
        <v>1165</v>
      </c>
      <c r="J6" t="inlineStr">
        <is>
          <t>May</t>
        </is>
      </c>
      <c r="K6" t="inlineStr">
        <is>
          <t>Toyota</t>
        </is>
      </c>
    </row>
    <row r="7">
      <c r="A7" t="n">
        <v>1007</v>
      </c>
      <c r="B7" t="inlineStr">
        <is>
          <t>VIN00001007</t>
        </is>
      </c>
      <c r="C7" s="2" t="n">
        <v>46185</v>
      </c>
      <c r="D7" t="n">
        <v>24488</v>
      </c>
      <c r="E7" t="n">
        <v>22797</v>
      </c>
      <c r="F7" t="n">
        <v>455.94</v>
      </c>
      <c r="G7">
        <f>D7*IncentiveRateHonda</f>
        <v/>
      </c>
      <c r="H7">
        <f>D7-E7+F7+G7</f>
        <v/>
      </c>
      <c r="I7" t="n">
        <v>1547</v>
      </c>
      <c r="J7" t="inlineStr">
        <is>
          <t>Jun</t>
        </is>
      </c>
      <c r="K7" t="inlineStr">
        <is>
          <t>Honda</t>
        </is>
      </c>
    </row>
    <row r="8">
      <c r="A8" t="n">
        <v>1008</v>
      </c>
      <c r="B8" t="inlineStr">
        <is>
          <t>VIN00001008</t>
        </is>
      </c>
      <c r="C8" s="2" t="n">
        <v>46216</v>
      </c>
      <c r="D8" t="n">
        <v>27811</v>
      </c>
      <c r="E8" t="n">
        <v>25277</v>
      </c>
      <c r="F8" t="n">
        <v>505.54</v>
      </c>
      <c r="G8">
        <f>D8*IncentiveRateFord</f>
        <v/>
      </c>
      <c r="H8">
        <f>D8-E8+F8+G8</f>
        <v/>
      </c>
      <c r="I8" t="n">
        <v>1154</v>
      </c>
      <c r="J8" t="inlineStr">
        <is>
          <t>Jul</t>
        </is>
      </c>
      <c r="K8" t="inlineStr">
        <is>
          <t>Ford</t>
        </is>
      </c>
    </row>
    <row r="9">
      <c r="A9" t="n">
        <v>1009</v>
      </c>
      <c r="B9" t="inlineStr">
        <is>
          <t>VIN00001009</t>
        </is>
      </c>
      <c r="C9" s="2" t="n">
        <v>46248</v>
      </c>
      <c r="D9" t="n">
        <v>33195</v>
      </c>
      <c r="E9" t="n">
        <v>31288</v>
      </c>
      <c r="F9" t="n">
        <v>625.76</v>
      </c>
      <c r="G9">
        <f>D9*IncentiveRateToyota</f>
        <v/>
      </c>
      <c r="H9">
        <f>D9-E9+F9+G9</f>
        <v/>
      </c>
      <c r="I9" t="n">
        <v>1959</v>
      </c>
      <c r="J9" t="inlineStr">
        <is>
          <t>Aug</t>
        </is>
      </c>
      <c r="K9" t="inlineStr">
        <is>
          <t>Toyota</t>
        </is>
      </c>
    </row>
    <row r="10">
      <c r="A10" t="n">
        <v>1010</v>
      </c>
      <c r="B10" t="inlineStr">
        <is>
          <t>VIN00001010</t>
        </is>
      </c>
      <c r="C10" s="2" t="n">
        <v>46280</v>
      </c>
      <c r="D10" t="n">
        <v>27611</v>
      </c>
      <c r="E10" t="n">
        <v>25192</v>
      </c>
      <c r="F10" t="n">
        <v>503.84</v>
      </c>
      <c r="G10">
        <f>D10*IncentiveRateHonda</f>
        <v/>
      </c>
      <c r="H10">
        <f>D10-E10+F10+G10</f>
        <v/>
      </c>
      <c r="I10" t="n">
        <v>1669</v>
      </c>
      <c r="J10" t="inlineStr">
        <is>
          <t>Sep</t>
        </is>
      </c>
      <c r="K10" t="inlineStr">
        <is>
          <t>Honda</t>
        </is>
      </c>
    </row>
    <row r="11">
      <c r="A11" t="n">
        <v>1011</v>
      </c>
      <c r="B11" t="inlineStr">
        <is>
          <t>VIN00001011</t>
        </is>
      </c>
      <c r="C11" s="2" t="n">
        <v>46311</v>
      </c>
      <c r="D11" t="n">
        <v>24106</v>
      </c>
      <c r="E11" t="n">
        <v>21052</v>
      </c>
      <c r="F11" t="n">
        <v>421.04</v>
      </c>
      <c r="G11">
        <f>D11*IncentiveRateFord</f>
        <v/>
      </c>
      <c r="H11">
        <f>D11-E11+F11+G11</f>
        <v/>
      </c>
      <c r="I11" t="n">
        <v>1426</v>
      </c>
      <c r="J11" t="inlineStr">
        <is>
          <t>Oct</t>
        </is>
      </c>
      <c r="K11" t="inlineStr">
        <is>
          <t>Ford</t>
        </is>
      </c>
    </row>
    <row r="12">
      <c r="A12" t="n">
        <v>1012</v>
      </c>
      <c r="B12" t="inlineStr">
        <is>
          <t>VIN00001012</t>
        </is>
      </c>
      <c r="C12" s="2" t="n">
        <v>46343</v>
      </c>
      <c r="D12" t="n">
        <v>35438</v>
      </c>
      <c r="E12" t="n">
        <v>33073</v>
      </c>
      <c r="F12" t="n">
        <v>661.46</v>
      </c>
      <c r="G12">
        <f>D12*IncentiveRateToyota</f>
        <v/>
      </c>
      <c r="H12">
        <f>D12-E12+F12+G12</f>
        <v/>
      </c>
      <c r="I12" t="n">
        <v>1796</v>
      </c>
      <c r="J12" t="inlineStr">
        <is>
          <t>Nov</t>
        </is>
      </c>
      <c r="K12" t="inlineStr">
        <is>
          <t>Toyota</t>
        </is>
      </c>
    </row>
    <row r="13">
      <c r="A13" t="n">
        <v>1013</v>
      </c>
      <c r="B13" t="inlineStr">
        <is>
          <t>VIN00001013</t>
        </is>
      </c>
      <c r="C13" s="2" t="n">
        <v>46374</v>
      </c>
      <c r="D13" t="n">
        <v>28552</v>
      </c>
      <c r="E13" t="n">
        <v>26734</v>
      </c>
      <c r="F13" t="n">
        <v>534.6799999999999</v>
      </c>
      <c r="G13">
        <f>D13*IncentiveRateHonda</f>
        <v/>
      </c>
      <c r="H13">
        <f>D13-E13+F13+G13</f>
        <v/>
      </c>
      <c r="I13" t="n">
        <v>1540</v>
      </c>
      <c r="J13" t="inlineStr">
        <is>
          <t>Dec</t>
        </is>
      </c>
      <c r="K13" t="inlineStr">
        <is>
          <t>Honda</t>
        </is>
      </c>
    </row>
    <row r="14">
      <c r="A14" t="n">
        <v>1014</v>
      </c>
      <c r="B14" t="inlineStr">
        <is>
          <t>VIN00001014</t>
        </is>
      </c>
      <c r="C14" s="2" t="n">
        <v>46041</v>
      </c>
      <c r="D14" t="n">
        <v>29514</v>
      </c>
      <c r="E14" t="n">
        <v>27805</v>
      </c>
      <c r="F14" t="n">
        <v>556.1</v>
      </c>
      <c r="G14">
        <f>D14*IncentiveRateFord</f>
        <v/>
      </c>
      <c r="H14">
        <f>D14-E14+F14+G14</f>
        <v/>
      </c>
      <c r="I14" t="n">
        <v>1289</v>
      </c>
      <c r="J14" t="inlineStr">
        <is>
          <t>Jan</t>
        </is>
      </c>
      <c r="K14" t="inlineStr">
        <is>
          <t>Ford</t>
        </is>
      </c>
    </row>
    <row r="15">
      <c r="A15" t="n">
        <v>1015</v>
      </c>
      <c r="B15" t="inlineStr">
        <is>
          <t>VIN00001015</t>
        </is>
      </c>
      <c r="C15" s="2" t="n">
        <v>46073</v>
      </c>
      <c r="D15" t="n">
        <v>30224</v>
      </c>
      <c r="E15" t="n">
        <v>28526</v>
      </c>
      <c r="F15" t="n">
        <v>570.52</v>
      </c>
      <c r="G15">
        <f>D15*IncentiveRateToyota</f>
        <v/>
      </c>
      <c r="H15">
        <f>D15-E15+F15+G15</f>
        <v/>
      </c>
      <c r="I15" t="n">
        <v>1835</v>
      </c>
      <c r="J15" t="inlineStr">
        <is>
          <t>Feb</t>
        </is>
      </c>
      <c r="K15" t="inlineStr">
        <is>
          <t>Toyota</t>
        </is>
      </c>
    </row>
    <row r="16">
      <c r="A16" t="n">
        <v>1016</v>
      </c>
      <c r="B16" t="inlineStr">
        <is>
          <t>VIN00001016</t>
        </is>
      </c>
      <c r="C16" s="2" t="n">
        <v>46102</v>
      </c>
      <c r="D16" t="n">
        <v>29635</v>
      </c>
      <c r="E16" t="n">
        <v>26899</v>
      </c>
      <c r="F16" t="n">
        <v>537.98</v>
      </c>
      <c r="G16">
        <f>D16*IncentiveRateHonda</f>
        <v/>
      </c>
      <c r="H16">
        <f>D16-E16+F16+G16</f>
        <v/>
      </c>
      <c r="I16" t="n">
        <v>1641</v>
      </c>
      <c r="J16" t="inlineStr">
        <is>
          <t>Mar</t>
        </is>
      </c>
      <c r="K16" t="inlineStr">
        <is>
          <t>Honda</t>
        </is>
      </c>
    </row>
    <row r="17">
      <c r="A17" t="n">
        <v>1017</v>
      </c>
      <c r="B17" t="inlineStr">
        <is>
          <t>VIN00001017</t>
        </is>
      </c>
      <c r="C17" s="2" t="n">
        <v>46134</v>
      </c>
      <c r="D17" t="n">
        <v>24711</v>
      </c>
      <c r="E17" t="n">
        <v>21717</v>
      </c>
      <c r="F17" t="n">
        <v>434.34</v>
      </c>
      <c r="G17">
        <f>D17*IncentiveRateFord</f>
        <v/>
      </c>
      <c r="H17">
        <f>D17-E17+F17+G17</f>
        <v/>
      </c>
      <c r="I17" t="n">
        <v>2040</v>
      </c>
      <c r="J17" t="inlineStr">
        <is>
          <t>Apr</t>
        </is>
      </c>
      <c r="K17" t="inlineStr">
        <is>
          <t>Ford</t>
        </is>
      </c>
    </row>
    <row r="18">
      <c r="A18" t="n">
        <v>1018</v>
      </c>
      <c r="B18" t="inlineStr">
        <is>
          <t>VIN00001018</t>
        </is>
      </c>
      <c r="C18" s="2" t="n">
        <v>46165</v>
      </c>
      <c r="D18" t="n">
        <v>32785</v>
      </c>
      <c r="E18" t="n">
        <v>31030</v>
      </c>
      <c r="F18" t="n">
        <v>620.6</v>
      </c>
      <c r="G18">
        <f>D18*IncentiveRateToyota</f>
        <v/>
      </c>
      <c r="H18">
        <f>D18-E18+F18+G18</f>
        <v/>
      </c>
      <c r="I18" t="n">
        <v>1875</v>
      </c>
      <c r="J18" t="inlineStr">
        <is>
          <t>May</t>
        </is>
      </c>
      <c r="K18" t="inlineStr">
        <is>
          <t>Toyota</t>
        </is>
      </c>
    </row>
    <row r="19">
      <c r="A19" t="n">
        <v>1019</v>
      </c>
      <c r="B19" t="inlineStr">
        <is>
          <t>VIN00001019</t>
        </is>
      </c>
      <c r="C19" s="2" t="n">
        <v>46197</v>
      </c>
      <c r="D19" t="n">
        <v>25291</v>
      </c>
      <c r="E19" t="n">
        <v>22661</v>
      </c>
      <c r="F19" t="n">
        <v>453.22</v>
      </c>
      <c r="G19">
        <f>D19*IncentiveRateHonda</f>
        <v/>
      </c>
      <c r="H19">
        <f>D19-E19+F19+G19</f>
        <v/>
      </c>
      <c r="I19" t="n">
        <v>1700</v>
      </c>
      <c r="J19" t="inlineStr">
        <is>
          <t>Jun</t>
        </is>
      </c>
      <c r="K19" t="inlineStr">
        <is>
          <t>Honda</t>
        </is>
      </c>
    </row>
    <row r="20">
      <c r="A20" t="n">
        <v>1020</v>
      </c>
      <c r="B20" t="inlineStr">
        <is>
          <t>VIN00001020</t>
        </is>
      </c>
      <c r="C20" s="2" t="n">
        <v>46208</v>
      </c>
      <c r="D20" t="n">
        <v>34299</v>
      </c>
      <c r="E20" t="n">
        <v>31533</v>
      </c>
      <c r="F20" t="n">
        <v>630.66</v>
      </c>
      <c r="G20">
        <f>D20*IncentiveRateFord</f>
        <v/>
      </c>
      <c r="H20">
        <f>D20-E20+F20+G20</f>
        <v/>
      </c>
      <c r="I20" t="n">
        <v>1840</v>
      </c>
      <c r="J20" t="inlineStr">
        <is>
          <t>Jul</t>
        </is>
      </c>
      <c r="K20" t="inlineStr">
        <is>
          <t>Ford</t>
        </is>
      </c>
    </row>
    <row r="21">
      <c r="A21" t="n">
        <v>1021</v>
      </c>
      <c r="B21" t="inlineStr">
        <is>
          <t>VIN00001021</t>
        </is>
      </c>
      <c r="C21" s="2" t="n">
        <v>46240</v>
      </c>
      <c r="D21" t="n">
        <v>33459</v>
      </c>
      <c r="E21" t="n">
        <v>31566</v>
      </c>
      <c r="F21" t="n">
        <v>631.3200000000001</v>
      </c>
      <c r="G21">
        <f>D21*IncentiveRateToyota</f>
        <v/>
      </c>
      <c r="H21">
        <f>D21-E21+F21+G21</f>
        <v/>
      </c>
      <c r="I21" t="n">
        <v>1242</v>
      </c>
      <c r="J21" t="inlineStr">
        <is>
          <t>Aug</t>
        </is>
      </c>
      <c r="K21" t="inlineStr">
        <is>
          <t>Toyota</t>
        </is>
      </c>
    </row>
    <row r="22">
      <c r="A22" t="n">
        <v>1022</v>
      </c>
      <c r="B22" t="inlineStr">
        <is>
          <t>VIN00001022</t>
        </is>
      </c>
      <c r="C22" s="2" t="n">
        <v>46272</v>
      </c>
      <c r="D22" t="n">
        <v>24750</v>
      </c>
      <c r="E22" t="n">
        <v>21896</v>
      </c>
      <c r="F22" t="n">
        <v>437.92</v>
      </c>
      <c r="G22">
        <f>D22*IncentiveRateHonda</f>
        <v/>
      </c>
      <c r="H22">
        <f>D22-E22+F22+G22</f>
        <v/>
      </c>
      <c r="I22" t="n">
        <v>1566</v>
      </c>
      <c r="J22" t="inlineStr">
        <is>
          <t>Sep</t>
        </is>
      </c>
      <c r="K22" t="inlineStr">
        <is>
          <t>Honda</t>
        </is>
      </c>
    </row>
    <row r="23">
      <c r="A23" t="n">
        <v>1023</v>
      </c>
      <c r="B23" t="inlineStr">
        <is>
          <t>VIN00001023</t>
        </is>
      </c>
      <c r="C23" s="2" t="n">
        <v>46303</v>
      </c>
      <c r="D23" t="n">
        <v>28741</v>
      </c>
      <c r="E23" t="n">
        <v>27078</v>
      </c>
      <c r="F23" t="n">
        <v>541.5599999999999</v>
      </c>
      <c r="G23">
        <f>D23*IncentiveRateFord</f>
        <v/>
      </c>
      <c r="H23">
        <f>D23-E23+F23+G23</f>
        <v/>
      </c>
      <c r="I23" t="n">
        <v>1576</v>
      </c>
      <c r="J23" t="inlineStr">
        <is>
          <t>Oct</t>
        </is>
      </c>
      <c r="K23" t="inlineStr">
        <is>
          <t>Ford</t>
        </is>
      </c>
    </row>
    <row r="24">
      <c r="A24" t="n">
        <v>1024</v>
      </c>
      <c r="B24" t="inlineStr">
        <is>
          <t>VIN00001024</t>
        </is>
      </c>
      <c r="C24" s="2" t="n">
        <v>46335</v>
      </c>
      <c r="D24" t="n">
        <v>25654</v>
      </c>
      <c r="E24" t="n">
        <v>23376</v>
      </c>
      <c r="F24" t="n">
        <v>467.52</v>
      </c>
      <c r="G24">
        <f>D24*IncentiveRateToyota</f>
        <v/>
      </c>
      <c r="H24">
        <f>D24-E24+F24+G24</f>
        <v/>
      </c>
      <c r="I24" t="n">
        <v>1669</v>
      </c>
      <c r="J24" t="inlineStr">
        <is>
          <t>Nov</t>
        </is>
      </c>
      <c r="K24" t="inlineStr">
        <is>
          <t>Toyota</t>
        </is>
      </c>
    </row>
    <row r="25">
      <c r="A25" t="n">
        <v>1025</v>
      </c>
      <c r="B25" t="inlineStr">
        <is>
          <t>VIN00001025</t>
        </is>
      </c>
      <c r="C25" s="2" t="n">
        <v>46366</v>
      </c>
      <c r="D25" t="n">
        <v>31428</v>
      </c>
      <c r="E25" t="n">
        <v>28627</v>
      </c>
      <c r="F25" t="n">
        <v>572.54</v>
      </c>
      <c r="G25">
        <f>D25*IncentiveRateHonda</f>
        <v/>
      </c>
      <c r="H25">
        <f>D25-E25+F25+G25</f>
        <v/>
      </c>
      <c r="I25" t="n">
        <v>1847</v>
      </c>
      <c r="J25" t="inlineStr">
        <is>
          <t>Dec</t>
        </is>
      </c>
      <c r="K25" t="inlineStr">
        <is>
          <t>Honda</t>
        </is>
      </c>
    </row>
    <row r="26">
      <c r="A26" t="n">
        <v>1026</v>
      </c>
      <c r="B26" t="inlineStr">
        <is>
          <t>VIN00001026</t>
        </is>
      </c>
      <c r="C26" s="2" t="n">
        <v>46033</v>
      </c>
      <c r="D26" t="n">
        <v>26664</v>
      </c>
      <c r="E26" t="n">
        <v>24406</v>
      </c>
      <c r="F26" t="n">
        <v>488.12</v>
      </c>
      <c r="G26">
        <f>D26*IncentiveRateFord</f>
        <v/>
      </c>
      <c r="H26">
        <f>D26-E26+F26+G26</f>
        <v/>
      </c>
      <c r="I26" t="n">
        <v>1827</v>
      </c>
      <c r="J26" t="inlineStr">
        <is>
          <t>Jan</t>
        </is>
      </c>
      <c r="K26" t="inlineStr">
        <is>
          <t>Ford</t>
        </is>
      </c>
    </row>
    <row r="27">
      <c r="A27" t="n">
        <v>1027</v>
      </c>
      <c r="B27" t="inlineStr">
        <is>
          <t>VIN00001027</t>
        </is>
      </c>
      <c r="C27" s="2" t="n">
        <v>46065</v>
      </c>
      <c r="D27" t="n">
        <v>27432</v>
      </c>
      <c r="E27" t="n">
        <v>24560</v>
      </c>
      <c r="F27" t="n">
        <v>491.2</v>
      </c>
      <c r="G27">
        <f>D27*IncentiveRateToyota</f>
        <v/>
      </c>
      <c r="H27">
        <f>D27-E27+F27+G27</f>
        <v/>
      </c>
      <c r="I27" t="n">
        <v>1646</v>
      </c>
      <c r="J27" t="inlineStr">
        <is>
          <t>Feb</t>
        </is>
      </c>
      <c r="K27" t="inlineStr">
        <is>
          <t>Toyota</t>
        </is>
      </c>
    </row>
    <row r="28">
      <c r="A28" t="n">
        <v>1028</v>
      </c>
      <c r="B28" t="inlineStr">
        <is>
          <t>VIN00001028</t>
        </is>
      </c>
      <c r="C28" s="2" t="n">
        <v>46094</v>
      </c>
      <c r="D28" t="n">
        <v>35498</v>
      </c>
      <c r="E28" t="n">
        <v>32080</v>
      </c>
      <c r="F28" t="n">
        <v>641.6</v>
      </c>
      <c r="G28">
        <f>D28*IncentiveRateHonda</f>
        <v/>
      </c>
      <c r="H28">
        <f>D28-E28+F28+G28</f>
        <v/>
      </c>
      <c r="I28" t="n">
        <v>1246</v>
      </c>
      <c r="J28" t="inlineStr">
        <is>
          <t>Mar</t>
        </is>
      </c>
      <c r="K28" t="inlineStr">
        <is>
          <t>Honda</t>
        </is>
      </c>
    </row>
    <row r="29">
      <c r="A29" t="n">
        <v>1029</v>
      </c>
      <c r="B29" t="inlineStr">
        <is>
          <t>VIN00001029</t>
        </is>
      </c>
      <c r="C29" s="2" t="n">
        <v>46126</v>
      </c>
      <c r="D29" t="n">
        <v>33980</v>
      </c>
      <c r="E29" t="n">
        <v>31180</v>
      </c>
      <c r="F29" t="n">
        <v>623.6</v>
      </c>
      <c r="G29">
        <f>D29*IncentiveRateFord</f>
        <v/>
      </c>
      <c r="H29">
        <f>D29-E29+F29+G29</f>
        <v/>
      </c>
      <c r="I29" t="n">
        <v>1450</v>
      </c>
      <c r="J29" t="inlineStr">
        <is>
          <t>Apr</t>
        </is>
      </c>
      <c r="K29" t="inlineStr">
        <is>
          <t>Ford</t>
        </is>
      </c>
    </row>
    <row r="30">
      <c r="A30" t="n">
        <v>1030</v>
      </c>
      <c r="B30" t="inlineStr">
        <is>
          <t>VIN00001030</t>
        </is>
      </c>
      <c r="C30" s="2" t="n">
        <v>46157</v>
      </c>
      <c r="D30" t="n">
        <v>32751</v>
      </c>
      <c r="E30" t="n">
        <v>29758</v>
      </c>
      <c r="F30" t="n">
        <v>595.16</v>
      </c>
      <c r="G30">
        <f>D30*IncentiveRateToyota</f>
        <v/>
      </c>
      <c r="H30">
        <f>D30-E30+F30+G30</f>
        <v/>
      </c>
      <c r="I30" t="n">
        <v>1601</v>
      </c>
      <c r="J30" t="inlineStr">
        <is>
          <t>May</t>
        </is>
      </c>
      <c r="K30" t="inlineStr">
        <is>
          <t>Toyota</t>
        </is>
      </c>
    </row>
    <row r="31">
      <c r="A31" t="n">
        <v>1031</v>
      </c>
      <c r="B31" t="inlineStr">
        <is>
          <t>VIN00001031</t>
        </is>
      </c>
      <c r="C31" s="2" t="n">
        <v>46189</v>
      </c>
      <c r="D31" t="n">
        <v>26677</v>
      </c>
      <c r="E31" t="n">
        <v>24231</v>
      </c>
      <c r="F31" t="n">
        <v>484.62</v>
      </c>
      <c r="G31">
        <f>D31*IncentiveRateHonda</f>
        <v/>
      </c>
      <c r="H31">
        <f>D31-E31+F31+G31</f>
        <v/>
      </c>
      <c r="I31" t="n">
        <v>1877</v>
      </c>
      <c r="J31" t="inlineStr">
        <is>
          <t>Jun</t>
        </is>
      </c>
      <c r="K31" t="inlineStr">
        <is>
          <t>Honda</t>
        </is>
      </c>
    </row>
    <row r="32">
      <c r="A32" t="n">
        <v>1032</v>
      </c>
      <c r="B32" t="inlineStr">
        <is>
          <t>VIN00001032</t>
        </is>
      </c>
      <c r="C32" s="2" t="n">
        <v>46220</v>
      </c>
      <c r="D32" t="n">
        <v>28422</v>
      </c>
      <c r="E32" t="n">
        <v>25027</v>
      </c>
      <c r="F32" t="n">
        <v>500.54</v>
      </c>
      <c r="G32">
        <f>D32*IncentiveRateFord</f>
        <v/>
      </c>
      <c r="H32">
        <f>D32-E32+F32+G32</f>
        <v/>
      </c>
      <c r="I32" t="n">
        <v>1549</v>
      </c>
      <c r="J32" t="inlineStr">
        <is>
          <t>Jul</t>
        </is>
      </c>
      <c r="K32" t="inlineStr">
        <is>
          <t>Ford</t>
        </is>
      </c>
    </row>
    <row r="33">
      <c r="A33" t="n">
        <v>1033</v>
      </c>
      <c r="B33" t="inlineStr">
        <is>
          <t>VIN00001033</t>
        </is>
      </c>
      <c r="C33" s="2" t="n">
        <v>46252</v>
      </c>
      <c r="D33" t="n">
        <v>35216</v>
      </c>
      <c r="E33" t="n">
        <v>33052</v>
      </c>
      <c r="F33" t="n">
        <v>661.04</v>
      </c>
      <c r="G33">
        <f>D33*IncentiveRateToyota</f>
        <v/>
      </c>
      <c r="H33">
        <f>D33-E33+F33+G33</f>
        <v/>
      </c>
      <c r="I33" t="n">
        <v>1214</v>
      </c>
      <c r="J33" t="inlineStr">
        <is>
          <t>Aug</t>
        </is>
      </c>
      <c r="K33" t="inlineStr">
        <is>
          <t>Toyota</t>
        </is>
      </c>
    </row>
    <row r="34">
      <c r="A34" t="n">
        <v>1034</v>
      </c>
      <c r="B34" t="inlineStr">
        <is>
          <t>VIN00001034</t>
        </is>
      </c>
      <c r="C34" s="2" t="n">
        <v>46284</v>
      </c>
      <c r="D34" t="n">
        <v>27752</v>
      </c>
      <c r="E34" t="n">
        <v>24569</v>
      </c>
      <c r="F34" t="n">
        <v>491.38</v>
      </c>
      <c r="G34">
        <f>D34*IncentiveRateHonda</f>
        <v/>
      </c>
      <c r="H34">
        <f>D34-E34+F34+G34</f>
        <v/>
      </c>
      <c r="I34" t="n">
        <v>1165</v>
      </c>
      <c r="J34" t="inlineStr">
        <is>
          <t>Sep</t>
        </is>
      </c>
      <c r="K34" t="inlineStr">
        <is>
          <t>Honda</t>
        </is>
      </c>
    </row>
    <row r="35">
      <c r="A35" t="n">
        <v>1035</v>
      </c>
      <c r="B35" t="inlineStr">
        <is>
          <t>VIN00001035</t>
        </is>
      </c>
      <c r="C35" s="2" t="n">
        <v>46315</v>
      </c>
      <c r="D35" t="n">
        <v>29168</v>
      </c>
      <c r="E35" t="n">
        <v>26847</v>
      </c>
      <c r="F35" t="n">
        <v>536.9400000000001</v>
      </c>
      <c r="G35">
        <f>D35*IncentiveRateFord</f>
        <v/>
      </c>
      <c r="H35">
        <f>D35-E35+F35+G35</f>
        <v/>
      </c>
      <c r="I35" t="n">
        <v>1648</v>
      </c>
      <c r="J35" t="inlineStr">
        <is>
          <t>Oct</t>
        </is>
      </c>
      <c r="K35" t="inlineStr">
        <is>
          <t>Ford</t>
        </is>
      </c>
    </row>
    <row r="36">
      <c r="A36" t="n">
        <v>1036</v>
      </c>
      <c r="B36" t="inlineStr">
        <is>
          <t>VIN00001036</t>
        </is>
      </c>
      <c r="C36" s="2" t="n">
        <v>46347</v>
      </c>
      <c r="D36" t="n">
        <v>25084</v>
      </c>
      <c r="E36" t="n">
        <v>23152</v>
      </c>
      <c r="F36" t="n">
        <v>463.04</v>
      </c>
      <c r="G36">
        <f>D36*IncentiveRateToyota</f>
        <v/>
      </c>
      <c r="H36">
        <f>D36-E36+F36+G36</f>
        <v/>
      </c>
      <c r="I36" t="n">
        <v>1744</v>
      </c>
      <c r="J36" t="inlineStr">
        <is>
          <t>Nov</t>
        </is>
      </c>
      <c r="K36" t="inlineStr">
        <is>
          <t>Toyota</t>
        </is>
      </c>
    </row>
    <row r="37">
      <c r="A37" t="n">
        <v>1037</v>
      </c>
      <c r="B37" t="inlineStr">
        <is>
          <t>VIN00001037</t>
        </is>
      </c>
      <c r="C37" s="2" t="n">
        <v>46378</v>
      </c>
      <c r="D37" t="n">
        <v>27483</v>
      </c>
      <c r="E37" t="n">
        <v>24641</v>
      </c>
      <c r="F37" t="n">
        <v>492.82</v>
      </c>
      <c r="G37">
        <f>D37*IncentiveRateHonda</f>
        <v/>
      </c>
      <c r="H37">
        <f>D37-E37+F37+G37</f>
        <v/>
      </c>
      <c r="I37" t="n">
        <v>2122</v>
      </c>
      <c r="J37" t="inlineStr">
        <is>
          <t>Dec</t>
        </is>
      </c>
      <c r="K37" t="inlineStr">
        <is>
          <t>Honda</t>
        </is>
      </c>
    </row>
    <row r="38">
      <c r="A38" t="n">
        <v>1038</v>
      </c>
      <c r="B38" t="inlineStr">
        <is>
          <t>VIN00001038</t>
        </is>
      </c>
      <c r="C38" s="2" t="n">
        <v>46045</v>
      </c>
      <c r="D38" t="n">
        <v>30482</v>
      </c>
      <c r="E38" t="n">
        <v>27171</v>
      </c>
      <c r="F38" t="n">
        <v>543.42</v>
      </c>
      <c r="G38">
        <f>D38*IncentiveRateFord</f>
        <v/>
      </c>
      <c r="H38">
        <f>D38-E38+F38+G38</f>
        <v/>
      </c>
      <c r="I38" t="n">
        <v>2039</v>
      </c>
      <c r="J38" t="inlineStr">
        <is>
          <t>Jan</t>
        </is>
      </c>
      <c r="K38" t="inlineStr">
        <is>
          <t>Ford</t>
        </is>
      </c>
    </row>
    <row r="39">
      <c r="A39" t="n">
        <v>1039</v>
      </c>
      <c r="B39" t="inlineStr">
        <is>
          <t>VIN00001039</t>
        </is>
      </c>
      <c r="C39" s="2" t="n">
        <v>46077</v>
      </c>
      <c r="D39" t="n">
        <v>26340</v>
      </c>
      <c r="E39" t="n">
        <v>24298</v>
      </c>
      <c r="F39" t="n">
        <v>485.96</v>
      </c>
      <c r="G39">
        <f>D39*IncentiveRateToyota</f>
        <v/>
      </c>
      <c r="H39">
        <f>D39-E39+F39+G39</f>
        <v/>
      </c>
      <c r="I39" t="n">
        <v>1385</v>
      </c>
      <c r="J39" t="inlineStr">
        <is>
          <t>Feb</t>
        </is>
      </c>
      <c r="K39" t="inlineStr">
        <is>
          <t>Toyota</t>
        </is>
      </c>
    </row>
    <row r="40">
      <c r="A40" t="n">
        <v>1040</v>
      </c>
      <c r="B40" t="inlineStr">
        <is>
          <t>VIN00001040</t>
        </is>
      </c>
      <c r="C40" s="2" t="n">
        <v>46086</v>
      </c>
      <c r="D40" t="n">
        <v>28040</v>
      </c>
      <c r="E40" t="n">
        <v>25015</v>
      </c>
      <c r="F40" t="n">
        <v>500.3</v>
      </c>
      <c r="G40">
        <f>D40*IncentiveRateHonda</f>
        <v/>
      </c>
      <c r="H40">
        <f>D40-E40+F40+G40</f>
        <v/>
      </c>
      <c r="I40" t="n">
        <v>1638</v>
      </c>
      <c r="J40" t="inlineStr">
        <is>
          <t>Mar</t>
        </is>
      </c>
      <c r="K40" t="inlineStr">
        <is>
          <t>Honda</t>
        </is>
      </c>
    </row>
    <row r="41">
      <c r="A41" t="n">
        <v>1041</v>
      </c>
      <c r="B41" t="inlineStr">
        <is>
          <t>VIN00001041</t>
        </is>
      </c>
      <c r="C41" s="2" t="n">
        <v>46118</v>
      </c>
      <c r="D41" t="n">
        <v>33577</v>
      </c>
      <c r="E41" t="n">
        <v>31200</v>
      </c>
      <c r="F41" t="n">
        <v>624</v>
      </c>
      <c r="G41">
        <f>D41*IncentiveRateFord</f>
        <v/>
      </c>
      <c r="H41">
        <f>D41-E41+F41+G41</f>
        <v/>
      </c>
      <c r="I41" t="n">
        <v>1917</v>
      </c>
      <c r="J41" t="inlineStr">
        <is>
          <t>Apr</t>
        </is>
      </c>
      <c r="K41" t="inlineStr">
        <is>
          <t>Ford</t>
        </is>
      </c>
    </row>
    <row r="45">
      <c r="A45" s="1" t="inlineStr">
        <is>
          <t>SUMMARY</t>
        </is>
      </c>
    </row>
    <row r="46">
      <c r="A46" t="inlineStr">
        <is>
          <t>Unit Count</t>
        </is>
      </c>
      <c r="B46">
        <f>COUNTA(A2:A41)</f>
        <v/>
      </c>
    </row>
    <row r="47">
      <c r="A47" t="inlineStr">
        <is>
          <t>Total Front Gross</t>
        </is>
      </c>
      <c r="B47">
        <f>SUM(H2:H41)</f>
        <v/>
      </c>
    </row>
    <row r="48">
      <c r="A48" t="inlineStr">
        <is>
          <t>Avg Front Gross</t>
        </is>
      </c>
      <c r="B48">
        <f>AVERAGE(H2:H41)</f>
        <v/>
      </c>
    </row>
    <row r="49">
      <c r="A49" t="inlineStr">
        <is>
          <t>Total F&amp;I Revenue</t>
        </is>
      </c>
      <c r="B49">
        <f>SUM(I2:I41)</f>
        <v/>
      </c>
    </row>
    <row r="51">
      <c r="A51" t="inlineStr">
        <is>
          <t>Front Gross Jan</t>
        </is>
      </c>
      <c r="B51">
        <f>SUMIFS(H2:H41,J2:J41,"Jan")</f>
        <v/>
      </c>
    </row>
    <row r="52">
      <c r="A52" t="inlineStr">
        <is>
          <t>Front Gross Feb</t>
        </is>
      </c>
      <c r="B52">
        <f>SUMIFS(H2:H41,J2:J41,"Feb")</f>
        <v/>
      </c>
    </row>
    <row r="53">
      <c r="A53" t="inlineStr">
        <is>
          <t>Front Gross Mar</t>
        </is>
      </c>
      <c r="B53">
        <f>SUMIFS(H2:H41,J2:J41,"Mar")</f>
        <v/>
      </c>
    </row>
    <row r="54">
      <c r="A54" t="inlineStr">
        <is>
          <t>Front Gross Apr</t>
        </is>
      </c>
      <c r="B54">
        <f>SUMIFS(H2:H41,J2:J41,"Apr")</f>
        <v/>
      </c>
    </row>
    <row r="55">
      <c r="A55" t="inlineStr">
        <is>
          <t>Front Gross May</t>
        </is>
      </c>
      <c r="B55">
        <f>SUMIFS(H2:H41,J2:J41,"May")</f>
        <v/>
      </c>
    </row>
    <row r="56">
      <c r="A56" t="inlineStr">
        <is>
          <t>Front Gross Jun</t>
        </is>
      </c>
      <c r="B56">
        <f>SUMIFS(H2:H41,J2:J41,"Jun")</f>
        <v/>
      </c>
    </row>
    <row r="57">
      <c r="A57" t="inlineStr">
        <is>
          <t>Front Gross Jul</t>
        </is>
      </c>
      <c r="B57">
        <f>SUMIFS(H2:H41,J2:J41,"Jul")</f>
        <v/>
      </c>
    </row>
    <row r="58">
      <c r="A58" t="inlineStr">
        <is>
          <t>Front Gross Aug</t>
        </is>
      </c>
      <c r="B58">
        <f>SUMIFS(H2:H41,J2:J41,"Aug")</f>
        <v/>
      </c>
    </row>
    <row r="59">
      <c r="A59" t="inlineStr">
        <is>
          <t>Front Gross Sep</t>
        </is>
      </c>
      <c r="B59">
        <f>SUMIFS(H2:H41,J2:J41,"Sep")</f>
        <v/>
      </c>
    </row>
    <row r="60">
      <c r="A60" t="inlineStr">
        <is>
          <t>Front Gross Oct</t>
        </is>
      </c>
      <c r="B60">
        <f>SUMIFS(H2:H41,J2:J41,"Oct")</f>
        <v/>
      </c>
    </row>
    <row r="61">
      <c r="A61" t="inlineStr">
        <is>
          <t>Front Gross Nov</t>
        </is>
      </c>
      <c r="B61">
        <f>SUMIFS(H2:H41,J2:J41,"Nov")</f>
        <v/>
      </c>
    </row>
    <row r="62">
      <c r="A62" t="inlineStr">
        <is>
          <t>Front Gross Dec</t>
        </is>
      </c>
      <c r="B62">
        <f>SUMIFS(H2:H41,J2:J41,"Dec")</f>
        <v/>
      </c>
    </row>
    <row r="65">
      <c r="A65" t="inlineStr">
        <is>
          <t>New Vehicle Total Gross</t>
        </is>
      </c>
      <c r="B65">
        <f>SUMIFS(H2:H41,J2:J41,"Jan")</f>
        <v/>
      </c>
      <c r="C65">
        <f>SUMIFS(H2:H41,J2:J41,"Feb")</f>
        <v/>
      </c>
      <c r="D65">
        <f>SUMIFS(H2:H41,J2:J41,"Mar")</f>
        <v/>
      </c>
      <c r="E65">
        <f>SUMIFS(H2:H41,J2:J41,"Apr")</f>
        <v/>
      </c>
      <c r="F65">
        <f>SUMIFS(H2:H41,J2:J41,"May")</f>
        <v/>
      </c>
      <c r="G65">
        <f>SUMIFS(H2:H41,J2:J41,"Jun")</f>
        <v/>
      </c>
      <c r="H65">
        <f>SUMIFS(H2:H41,J2:J41,"Jul")</f>
        <v/>
      </c>
      <c r="I65">
        <f>SUMIFS(H2:H41,J2:J41,"Aug")</f>
        <v/>
      </c>
      <c r="J65">
        <f>SUMIFS(H2:H41,J2:J41,"Sep")</f>
        <v/>
      </c>
      <c r="K65">
        <f>SUMIFS(H2:H41,J2:J41,"Oct")</f>
        <v/>
      </c>
      <c r="L65">
        <f>SUMIFS(H2:H41,J2:J41,"Nov")</f>
        <v/>
      </c>
      <c r="M65">
        <f>SUMIFS(H2:H41,J2:J41,"Dec")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Stock#</t>
        </is>
      </c>
      <c r="B1" s="1" t="inlineStr">
        <is>
          <t>VIN</t>
        </is>
      </c>
      <c r="C1" s="1" t="inlineStr">
        <is>
          <t>Sale Date</t>
        </is>
      </c>
      <c r="D1" s="1" t="inlineStr">
        <is>
          <t>Sale Price</t>
        </is>
      </c>
      <c r="E1" s="1" t="inlineStr">
        <is>
          <t>Acquisition Cost</t>
        </is>
      </c>
      <c r="F1" s="1" t="inlineStr">
        <is>
          <t>Recon Cost</t>
        </is>
      </c>
      <c r="G1" s="1" t="inlineStr">
        <is>
          <t>Days on Lot</t>
        </is>
      </c>
      <c r="H1" s="1" t="inlineStr">
        <is>
          <t>Floor Plan Interest</t>
        </is>
      </c>
      <c r="I1" s="1" t="inlineStr">
        <is>
          <t>Adjusted Gross</t>
        </is>
      </c>
      <c r="J1" s="1" t="inlineStr">
        <is>
          <t>Month</t>
        </is>
      </c>
      <c r="K1" s="1" t="inlineStr">
        <is>
          <t>Source</t>
        </is>
      </c>
    </row>
    <row r="2">
      <c r="A2" t="n">
        <v>2002</v>
      </c>
      <c r="B2" t="inlineStr">
        <is>
          <t>VIN_U0002002</t>
        </is>
      </c>
      <c r="C2" s="2" t="n">
        <v>46034</v>
      </c>
      <c r="D2" t="n">
        <v>20930</v>
      </c>
      <c r="E2" t="n">
        <v>18032</v>
      </c>
      <c r="F2" t="n">
        <v>583</v>
      </c>
      <c r="G2" t="n">
        <v>80</v>
      </c>
      <c r="H2">
        <f>G2*E2*FloorPlanRate/365</f>
        <v/>
      </c>
      <c r="I2">
        <f>D2-E2-F2-H2</f>
        <v/>
      </c>
      <c r="J2" t="inlineStr">
        <is>
          <t>Jan</t>
        </is>
      </c>
      <c r="K2" t="inlineStr">
        <is>
          <t>Auction</t>
        </is>
      </c>
    </row>
    <row r="3">
      <c r="A3" t="n">
        <v>2003</v>
      </c>
      <c r="B3" t="inlineStr">
        <is>
          <t>VIN_U0002003</t>
        </is>
      </c>
      <c r="C3" s="2" t="n">
        <v>46066</v>
      </c>
      <c r="D3" t="n">
        <v>16489</v>
      </c>
      <c r="E3" t="n">
        <v>14297</v>
      </c>
      <c r="F3" t="n">
        <v>524</v>
      </c>
      <c r="G3" t="n">
        <v>34</v>
      </c>
      <c r="H3">
        <f>G3*E3*FloorPlanRate/365</f>
        <v/>
      </c>
      <c r="I3">
        <f>D3-E3-F3-H3</f>
        <v/>
      </c>
      <c r="J3" t="inlineStr">
        <is>
          <t>Feb</t>
        </is>
      </c>
      <c r="K3" t="inlineStr">
        <is>
          <t>Direct</t>
        </is>
      </c>
    </row>
    <row r="4">
      <c r="A4" t="n">
        <v>2004</v>
      </c>
      <c r="B4" t="inlineStr">
        <is>
          <t>VIN_U0002004</t>
        </is>
      </c>
      <c r="C4" s="2" t="n">
        <v>46095</v>
      </c>
      <c r="D4" t="n">
        <v>17621</v>
      </c>
      <c r="E4" t="n">
        <v>13892</v>
      </c>
      <c r="F4" t="n">
        <v>430</v>
      </c>
      <c r="G4" t="n">
        <v>64</v>
      </c>
      <c r="H4">
        <f>G4*E4*FloorPlanRate/365</f>
        <v/>
      </c>
      <c r="I4">
        <f>D4-E4-F4-H4</f>
        <v/>
      </c>
      <c r="J4" t="inlineStr">
        <is>
          <t>Mar</t>
        </is>
      </c>
      <c r="K4" t="inlineStr">
        <is>
          <t>Auction</t>
        </is>
      </c>
    </row>
    <row r="5">
      <c r="A5" t="n">
        <v>2005</v>
      </c>
      <c r="B5" t="inlineStr">
        <is>
          <t>VIN_U0002005</t>
        </is>
      </c>
      <c r="C5" s="2" t="n">
        <v>46127</v>
      </c>
      <c r="D5" t="n">
        <v>24763</v>
      </c>
      <c r="E5" t="n">
        <v>20846</v>
      </c>
      <c r="F5" t="n">
        <v>1383</v>
      </c>
      <c r="G5" t="n">
        <v>47</v>
      </c>
      <c r="H5">
        <f>G5*E5*FloorPlanRate/365</f>
        <v/>
      </c>
      <c r="I5">
        <f>D5-E5-F5-H5</f>
        <v/>
      </c>
      <c r="J5" t="inlineStr">
        <is>
          <t>Apr</t>
        </is>
      </c>
      <c r="K5" t="inlineStr">
        <is>
          <t>Direct</t>
        </is>
      </c>
    </row>
    <row r="6">
      <c r="A6" t="n">
        <v>2006</v>
      </c>
      <c r="B6" t="inlineStr">
        <is>
          <t>VIN_U0002006</t>
        </is>
      </c>
      <c r="C6" s="2" t="n">
        <v>46158</v>
      </c>
      <c r="D6" t="n">
        <v>15188</v>
      </c>
      <c r="E6" t="n">
        <v>12719</v>
      </c>
      <c r="F6" t="n">
        <v>1399</v>
      </c>
      <c r="G6" t="n">
        <v>49</v>
      </c>
      <c r="H6">
        <f>G6*E6*FloorPlanRate/365</f>
        <v/>
      </c>
      <c r="I6">
        <f>D6-E6-F6-H6</f>
        <v/>
      </c>
      <c r="J6" t="inlineStr">
        <is>
          <t>May</t>
        </is>
      </c>
      <c r="K6" t="inlineStr">
        <is>
          <t>Direct</t>
        </is>
      </c>
    </row>
    <row r="7">
      <c r="A7" t="n">
        <v>2007</v>
      </c>
      <c r="B7" t="inlineStr">
        <is>
          <t>VIN_U0002007</t>
        </is>
      </c>
      <c r="C7" s="2" t="n">
        <v>46190</v>
      </c>
      <c r="D7" t="n">
        <v>20573</v>
      </c>
      <c r="E7" t="n">
        <v>18117</v>
      </c>
      <c r="F7" t="n">
        <v>901</v>
      </c>
      <c r="G7" t="n">
        <v>70</v>
      </c>
      <c r="H7">
        <f>G7*E7*FloorPlanRate/365</f>
        <v/>
      </c>
      <c r="I7">
        <f>D7-E7-F7-H7</f>
        <v/>
      </c>
      <c r="J7" t="inlineStr">
        <is>
          <t>Jun</t>
        </is>
      </c>
      <c r="K7" t="inlineStr">
        <is>
          <t>Trade-in</t>
        </is>
      </c>
    </row>
    <row r="8">
      <c r="A8" t="n">
        <v>2008</v>
      </c>
      <c r="B8" t="inlineStr">
        <is>
          <t>VIN_U0002008</t>
        </is>
      </c>
      <c r="C8" s="2" t="n">
        <v>46221</v>
      </c>
      <c r="D8" t="n">
        <v>22433</v>
      </c>
      <c r="E8" t="n">
        <v>20420</v>
      </c>
      <c r="F8" t="n">
        <v>839</v>
      </c>
      <c r="G8" t="n">
        <v>79</v>
      </c>
      <c r="H8">
        <f>G8*E8*FloorPlanRate/365</f>
        <v/>
      </c>
      <c r="I8">
        <f>D8-E8-F8-H8</f>
        <v/>
      </c>
      <c r="J8" t="inlineStr">
        <is>
          <t>Jul</t>
        </is>
      </c>
      <c r="K8" t="inlineStr">
        <is>
          <t>Trade-in</t>
        </is>
      </c>
    </row>
    <row r="9">
      <c r="A9" t="n">
        <v>2009</v>
      </c>
      <c r="B9" t="inlineStr">
        <is>
          <t>VIN_U0002009</t>
        </is>
      </c>
      <c r="C9" s="2" t="n">
        <v>46253</v>
      </c>
      <c r="D9" t="n">
        <v>23317</v>
      </c>
      <c r="E9" t="n">
        <v>20882</v>
      </c>
      <c r="F9" t="n">
        <v>911</v>
      </c>
      <c r="G9" t="n">
        <v>79</v>
      </c>
      <c r="H9">
        <f>G9*E9*FloorPlanRate/365</f>
        <v/>
      </c>
      <c r="I9">
        <f>D9-E9-F9-H9</f>
        <v/>
      </c>
      <c r="J9" t="inlineStr">
        <is>
          <t>Aug</t>
        </is>
      </c>
      <c r="K9" t="inlineStr">
        <is>
          <t>Direct</t>
        </is>
      </c>
    </row>
    <row r="10">
      <c r="A10" t="n">
        <v>2010</v>
      </c>
      <c r="B10" t="inlineStr">
        <is>
          <t>VIN_U0002010</t>
        </is>
      </c>
      <c r="C10" s="2" t="n">
        <v>46285</v>
      </c>
      <c r="D10" t="n">
        <v>18258</v>
      </c>
      <c r="E10" t="n">
        <v>15632</v>
      </c>
      <c r="F10" t="n">
        <v>1065</v>
      </c>
      <c r="G10" t="n">
        <v>35</v>
      </c>
      <c r="H10">
        <f>G10*E10*FloorPlanRate/365</f>
        <v/>
      </c>
      <c r="I10">
        <f>D10-E10-F10-H10</f>
        <v/>
      </c>
      <c r="J10" t="inlineStr">
        <is>
          <t>Sep</t>
        </is>
      </c>
      <c r="K10" t="inlineStr">
        <is>
          <t>Direct</t>
        </is>
      </c>
    </row>
    <row r="11">
      <c r="A11" t="n">
        <v>2011</v>
      </c>
      <c r="B11" t="inlineStr">
        <is>
          <t>VIN_U0002011</t>
        </is>
      </c>
      <c r="C11" s="2" t="n">
        <v>46316</v>
      </c>
      <c r="D11" t="n">
        <v>23689</v>
      </c>
      <c r="E11" t="n">
        <v>21687</v>
      </c>
      <c r="F11" t="n">
        <v>963</v>
      </c>
      <c r="G11" t="n">
        <v>77</v>
      </c>
      <c r="H11">
        <f>G11*E11*FloorPlanRate/365</f>
        <v/>
      </c>
      <c r="I11">
        <f>D11-E11-F11-H11</f>
        <v/>
      </c>
      <c r="J11" t="inlineStr">
        <is>
          <t>Oct</t>
        </is>
      </c>
      <c r="K11" t="inlineStr">
        <is>
          <t>Trade-in</t>
        </is>
      </c>
    </row>
    <row r="12">
      <c r="A12" t="n">
        <v>2012</v>
      </c>
      <c r="B12" t="inlineStr">
        <is>
          <t>VIN_U0002012</t>
        </is>
      </c>
      <c r="C12" s="2" t="n">
        <v>46348</v>
      </c>
      <c r="D12" t="n">
        <v>16832</v>
      </c>
      <c r="E12" t="n">
        <v>13346</v>
      </c>
      <c r="F12" t="n">
        <v>929</v>
      </c>
      <c r="G12" t="n">
        <v>45</v>
      </c>
      <c r="H12">
        <f>G12*E12*FloorPlanRate/365</f>
        <v/>
      </c>
      <c r="I12">
        <f>D12-E12-F12-H12</f>
        <v/>
      </c>
      <c r="J12" t="inlineStr">
        <is>
          <t>Nov</t>
        </is>
      </c>
      <c r="K12" t="inlineStr">
        <is>
          <t>Trade-in</t>
        </is>
      </c>
    </row>
    <row r="13">
      <c r="A13" t="n">
        <v>2013</v>
      </c>
      <c r="B13" t="inlineStr">
        <is>
          <t>VIN_U0002013</t>
        </is>
      </c>
      <c r="C13" s="2" t="n">
        <v>46379</v>
      </c>
      <c r="D13" t="n">
        <v>18946</v>
      </c>
      <c r="E13" t="n">
        <v>14623</v>
      </c>
      <c r="F13" t="n">
        <v>461</v>
      </c>
      <c r="G13" t="n">
        <v>25</v>
      </c>
      <c r="H13">
        <f>G13*E13*FloorPlanRate/365</f>
        <v/>
      </c>
      <c r="I13">
        <f>D13-E13-F13-H13</f>
        <v/>
      </c>
      <c r="J13" t="inlineStr">
        <is>
          <t>Dec</t>
        </is>
      </c>
      <c r="K13" t="inlineStr">
        <is>
          <t>Direct</t>
        </is>
      </c>
    </row>
    <row r="14">
      <c r="A14" t="n">
        <v>2014</v>
      </c>
      <c r="B14" t="inlineStr">
        <is>
          <t>VIN_U0002014</t>
        </is>
      </c>
      <c r="C14" s="2" t="n">
        <v>46046</v>
      </c>
      <c r="D14" t="n">
        <v>22962</v>
      </c>
      <c r="E14" t="n">
        <v>20679</v>
      </c>
      <c r="F14" t="n">
        <v>1390</v>
      </c>
      <c r="G14" t="n">
        <v>31</v>
      </c>
      <c r="H14">
        <f>G14*E14*FloorPlanRate/365</f>
        <v/>
      </c>
      <c r="I14">
        <f>D14-E14-F14-H14</f>
        <v/>
      </c>
      <c r="J14" t="inlineStr">
        <is>
          <t>Jan</t>
        </is>
      </c>
      <c r="K14" t="inlineStr">
        <is>
          <t>Trade-in</t>
        </is>
      </c>
    </row>
    <row r="15">
      <c r="A15" t="n">
        <v>2015</v>
      </c>
      <c r="B15" t="inlineStr">
        <is>
          <t>VIN_U0002015</t>
        </is>
      </c>
      <c r="C15" s="2" t="n">
        <v>46063</v>
      </c>
      <c r="D15" t="n">
        <v>22787</v>
      </c>
      <c r="E15" t="n">
        <v>18536</v>
      </c>
      <c r="F15" t="n">
        <v>638</v>
      </c>
      <c r="G15" t="n">
        <v>48</v>
      </c>
      <c r="H15">
        <f>G15*E15*FloorPlanRate/365</f>
        <v/>
      </c>
      <c r="I15">
        <f>D15-E15-F15-H15</f>
        <v/>
      </c>
      <c r="J15" t="inlineStr">
        <is>
          <t>Feb</t>
        </is>
      </c>
      <c r="K15" t="inlineStr">
        <is>
          <t>Direct</t>
        </is>
      </c>
    </row>
    <row r="16">
      <c r="A16" t="n">
        <v>2016</v>
      </c>
      <c r="B16" t="inlineStr">
        <is>
          <t>VIN_U0002016</t>
        </is>
      </c>
      <c r="C16" s="2" t="n">
        <v>46092</v>
      </c>
      <c r="D16" t="n">
        <v>24938</v>
      </c>
      <c r="E16" t="n">
        <v>21205</v>
      </c>
      <c r="F16" t="n">
        <v>733</v>
      </c>
      <c r="G16" t="n">
        <v>84</v>
      </c>
      <c r="H16">
        <f>G16*E16*FloorPlanRate/365</f>
        <v/>
      </c>
      <c r="I16">
        <f>D16-E16-F16-H16</f>
        <v/>
      </c>
      <c r="J16" t="inlineStr">
        <is>
          <t>Mar</t>
        </is>
      </c>
      <c r="K16" t="inlineStr">
        <is>
          <t>Direct</t>
        </is>
      </c>
    </row>
    <row r="17">
      <c r="A17" t="n">
        <v>2017</v>
      </c>
      <c r="B17" t="inlineStr">
        <is>
          <t>VIN_U0002017</t>
        </is>
      </c>
      <c r="C17" s="2" t="n">
        <v>46124</v>
      </c>
      <c r="D17" t="n">
        <v>18295</v>
      </c>
      <c r="E17" t="n">
        <v>15019</v>
      </c>
      <c r="F17" t="n">
        <v>1117</v>
      </c>
      <c r="G17" t="n">
        <v>62</v>
      </c>
      <c r="H17">
        <f>G17*E17*FloorPlanRate/365</f>
        <v/>
      </c>
      <c r="I17">
        <f>D17-E17-F17-H17</f>
        <v/>
      </c>
      <c r="J17" t="inlineStr">
        <is>
          <t>Apr</t>
        </is>
      </c>
      <c r="K17" t="inlineStr">
        <is>
          <t>Auction</t>
        </is>
      </c>
    </row>
    <row r="18">
      <c r="A18" t="n">
        <v>2018</v>
      </c>
      <c r="B18" t="inlineStr">
        <is>
          <t>VIN_U0002018</t>
        </is>
      </c>
      <c r="C18" s="2" t="n">
        <v>46155</v>
      </c>
      <c r="D18" t="n">
        <v>23479</v>
      </c>
      <c r="E18" t="n">
        <v>19630</v>
      </c>
      <c r="F18" t="n">
        <v>547</v>
      </c>
      <c r="G18" t="n">
        <v>46</v>
      </c>
      <c r="H18">
        <f>G18*E18*FloorPlanRate/365</f>
        <v/>
      </c>
      <c r="I18">
        <f>D18-E18-F18-H18</f>
        <v/>
      </c>
      <c r="J18" t="inlineStr">
        <is>
          <t>May</t>
        </is>
      </c>
      <c r="K18" t="inlineStr">
        <is>
          <t>Trade-in</t>
        </is>
      </c>
    </row>
    <row r="19">
      <c r="A19" t="n">
        <v>2019</v>
      </c>
      <c r="B19" t="inlineStr">
        <is>
          <t>VIN_U0002019</t>
        </is>
      </c>
      <c r="C19" s="2" t="n">
        <v>46187</v>
      </c>
      <c r="D19" t="n">
        <v>16049</v>
      </c>
      <c r="E19" t="n">
        <v>12665</v>
      </c>
      <c r="F19" t="n">
        <v>343</v>
      </c>
      <c r="G19" t="n">
        <v>90</v>
      </c>
      <c r="H19">
        <f>G19*E19*FloorPlanRate/365</f>
        <v/>
      </c>
      <c r="I19">
        <f>D19-E19-F19-H19</f>
        <v/>
      </c>
      <c r="J19" t="inlineStr">
        <is>
          <t>Jun</t>
        </is>
      </c>
      <c r="K19" t="inlineStr">
        <is>
          <t>Direct</t>
        </is>
      </c>
    </row>
    <row r="20">
      <c r="A20" t="n">
        <v>2020</v>
      </c>
      <c r="B20" t="inlineStr">
        <is>
          <t>VIN_U0002020</t>
        </is>
      </c>
      <c r="C20" s="2" t="n">
        <v>46218</v>
      </c>
      <c r="D20" t="n">
        <v>18770</v>
      </c>
      <c r="E20" t="n">
        <v>14360</v>
      </c>
      <c r="F20" t="n">
        <v>751</v>
      </c>
      <c r="G20" t="n">
        <v>15</v>
      </c>
      <c r="H20">
        <f>G20*E20*FloorPlanRate/365</f>
        <v/>
      </c>
      <c r="I20">
        <f>D20-E20-F20-H20</f>
        <v/>
      </c>
      <c r="J20" t="inlineStr">
        <is>
          <t>Jul</t>
        </is>
      </c>
      <c r="K20" t="inlineStr">
        <is>
          <t>Trade-in</t>
        </is>
      </c>
    </row>
    <row r="21">
      <c r="A21" t="n">
        <v>2021</v>
      </c>
      <c r="B21" t="inlineStr">
        <is>
          <t>VIN_U0002021</t>
        </is>
      </c>
      <c r="C21" s="2" t="n">
        <v>46250</v>
      </c>
      <c r="D21" t="n">
        <v>15964</v>
      </c>
      <c r="E21" t="n">
        <v>13027</v>
      </c>
      <c r="F21" t="n">
        <v>438</v>
      </c>
      <c r="G21" t="n">
        <v>19</v>
      </c>
      <c r="H21">
        <f>G21*E21*FloorPlanRate/365</f>
        <v/>
      </c>
      <c r="I21">
        <f>D21-E21-F21-H21</f>
        <v/>
      </c>
      <c r="J21" t="inlineStr">
        <is>
          <t>Aug</t>
        </is>
      </c>
      <c r="K21" t="inlineStr">
        <is>
          <t>Auction</t>
        </is>
      </c>
    </row>
    <row r="22">
      <c r="A22" t="n">
        <v>2022</v>
      </c>
      <c r="B22" t="inlineStr">
        <is>
          <t>VIN_U0002022</t>
        </is>
      </c>
      <c r="C22" s="2" t="n">
        <v>46282</v>
      </c>
      <c r="D22" t="n">
        <v>16160</v>
      </c>
      <c r="E22" t="n">
        <v>12055</v>
      </c>
      <c r="F22" t="n">
        <v>787</v>
      </c>
      <c r="G22" t="n">
        <v>50</v>
      </c>
      <c r="H22">
        <f>G22*E22*FloorPlanRate/365</f>
        <v/>
      </c>
      <c r="I22">
        <f>D22-E22-F22-H22</f>
        <v/>
      </c>
      <c r="J22" t="inlineStr">
        <is>
          <t>Sep</t>
        </is>
      </c>
      <c r="K22" t="inlineStr">
        <is>
          <t>Direct</t>
        </is>
      </c>
    </row>
    <row r="23">
      <c r="A23" t="n">
        <v>2023</v>
      </c>
      <c r="B23" t="inlineStr">
        <is>
          <t>VIN_U0002023</t>
        </is>
      </c>
      <c r="C23" s="2" t="n">
        <v>46313</v>
      </c>
      <c r="D23" t="n">
        <v>22953</v>
      </c>
      <c r="E23" t="n">
        <v>20076</v>
      </c>
      <c r="F23" t="n">
        <v>1404</v>
      </c>
      <c r="G23" t="n">
        <v>31</v>
      </c>
      <c r="H23">
        <f>G23*E23*FloorPlanRate/365</f>
        <v/>
      </c>
      <c r="I23" t="n">
        <v>3200</v>
      </c>
      <c r="J23" t="inlineStr">
        <is>
          <t>Oct</t>
        </is>
      </c>
      <c r="K23" t="inlineStr">
        <is>
          <t>Direct</t>
        </is>
      </c>
    </row>
    <row r="24">
      <c r="A24" t="n">
        <v>2024</v>
      </c>
      <c r="B24" t="inlineStr">
        <is>
          <t>VIN_U0002024</t>
        </is>
      </c>
      <c r="C24" s="2" t="n">
        <v>46345</v>
      </c>
      <c r="D24" t="n">
        <v>24355</v>
      </c>
      <c r="E24" t="n">
        <v>19995</v>
      </c>
      <c r="F24" t="n">
        <v>1268</v>
      </c>
      <c r="G24" t="n">
        <v>46</v>
      </c>
      <c r="H24">
        <f>G24*E24*FloorPlanRate/365</f>
        <v/>
      </c>
      <c r="I24">
        <f>D24-E24-F24-H24</f>
        <v/>
      </c>
      <c r="J24" t="inlineStr">
        <is>
          <t>Nov</t>
        </is>
      </c>
      <c r="K24" t="inlineStr">
        <is>
          <t>Auction</t>
        </is>
      </c>
    </row>
    <row r="25">
      <c r="A25" t="n">
        <v>2025</v>
      </c>
      <c r="B25" t="inlineStr">
        <is>
          <t>VIN_U0002025</t>
        </is>
      </c>
      <c r="C25" s="2" t="n">
        <v>46376</v>
      </c>
      <c r="D25" t="n">
        <v>21669</v>
      </c>
      <c r="E25" t="n">
        <v>18890</v>
      </c>
      <c r="F25" t="n">
        <v>493</v>
      </c>
      <c r="G25" t="n">
        <v>27</v>
      </c>
      <c r="H25">
        <f>G25*E25*FloorPlanRate/365</f>
        <v/>
      </c>
      <c r="I25">
        <f>D25-E25-F25-H25</f>
        <v/>
      </c>
      <c r="J25" t="inlineStr">
        <is>
          <t>Dec</t>
        </is>
      </c>
      <c r="K25" t="inlineStr">
        <is>
          <t>Direct</t>
        </is>
      </c>
    </row>
    <row r="26">
      <c r="A26" t="n">
        <v>2026</v>
      </c>
      <c r="B26" t="inlineStr">
        <is>
          <t>VIN_U0002026</t>
        </is>
      </c>
      <c r="C26" s="2" t="n">
        <v>46043</v>
      </c>
      <c r="D26" t="n">
        <v>22062</v>
      </c>
      <c r="E26" t="n">
        <v>18611</v>
      </c>
      <c r="F26" t="n">
        <v>1167</v>
      </c>
      <c r="G26" t="n">
        <v>67</v>
      </c>
      <c r="H26">
        <f>G26*E26*FloorPlanRate/365</f>
        <v/>
      </c>
      <c r="I26">
        <f>D26-E26-F26-H26</f>
        <v/>
      </c>
      <c r="J26" t="inlineStr">
        <is>
          <t>Jan</t>
        </is>
      </c>
      <c r="K26" t="inlineStr">
        <is>
          <t>Auction</t>
        </is>
      </c>
    </row>
    <row r="27">
      <c r="A27" t="n">
        <v>2027</v>
      </c>
      <c r="B27" t="inlineStr">
        <is>
          <t>VIN_U0002027</t>
        </is>
      </c>
      <c r="C27" s="2" t="n">
        <v>46075</v>
      </c>
      <c r="D27" t="n">
        <v>15887</v>
      </c>
      <c r="E27" t="n">
        <v>13484</v>
      </c>
      <c r="F27" t="n">
        <v>424</v>
      </c>
      <c r="G27" t="n">
        <v>66</v>
      </c>
      <c r="H27">
        <f>G27*E27*FloorPlanRate/365</f>
        <v/>
      </c>
      <c r="I27">
        <f>D27-E27-F27-H27</f>
        <v/>
      </c>
      <c r="J27" t="inlineStr">
        <is>
          <t>Feb</t>
        </is>
      </c>
      <c r="K27" t="inlineStr">
        <is>
          <t>Direct</t>
        </is>
      </c>
    </row>
    <row r="28">
      <c r="A28" t="n">
        <v>2028</v>
      </c>
      <c r="B28" t="inlineStr">
        <is>
          <t>VIN_U0002028</t>
        </is>
      </c>
      <c r="C28" s="2" t="n">
        <v>46104</v>
      </c>
      <c r="D28" t="n">
        <v>20559</v>
      </c>
      <c r="E28" t="n">
        <v>18112</v>
      </c>
      <c r="F28" t="n">
        <v>809</v>
      </c>
      <c r="G28" t="n">
        <v>39</v>
      </c>
      <c r="H28">
        <f>G28*E28*FloorPlanRate/365</f>
        <v/>
      </c>
      <c r="I28">
        <f>D28-E28-F28-H28</f>
        <v/>
      </c>
      <c r="J28" t="inlineStr">
        <is>
          <t>Mar</t>
        </is>
      </c>
      <c r="K28" t="inlineStr">
        <is>
          <t>Trade-in</t>
        </is>
      </c>
    </row>
    <row r="29">
      <c r="A29" t="n">
        <v>2029</v>
      </c>
      <c r="B29" t="inlineStr">
        <is>
          <t>VIN_U0002029</t>
        </is>
      </c>
      <c r="C29" s="2" t="n">
        <v>46136</v>
      </c>
      <c r="D29" t="n">
        <v>23786</v>
      </c>
      <c r="E29" t="n">
        <v>19949</v>
      </c>
      <c r="F29" t="n">
        <v>587</v>
      </c>
      <c r="G29" t="n">
        <v>69</v>
      </c>
      <c r="H29">
        <f>G29*E29*FloorPlanRate/365</f>
        <v/>
      </c>
      <c r="I29">
        <f>D29-E29-F29-H29</f>
        <v/>
      </c>
      <c r="J29" t="inlineStr">
        <is>
          <t>Apr</t>
        </is>
      </c>
      <c r="K29" t="inlineStr">
        <is>
          <t>Trade-in</t>
        </is>
      </c>
    </row>
    <row r="30">
      <c r="A30" t="n">
        <v>2030</v>
      </c>
      <c r="B30" t="inlineStr">
        <is>
          <t>VIN_U0002030</t>
        </is>
      </c>
      <c r="C30" s="2" t="n">
        <v>46152</v>
      </c>
      <c r="D30" t="n">
        <v>19563</v>
      </c>
      <c r="E30" t="n">
        <v>15669</v>
      </c>
      <c r="F30" t="n">
        <v>811</v>
      </c>
      <c r="G30" t="n">
        <v>24</v>
      </c>
      <c r="H30">
        <f>G30*E30*FloorPlanRate/365</f>
        <v/>
      </c>
      <c r="I30">
        <f>D30-E30-F30-H30</f>
        <v/>
      </c>
      <c r="J30" t="inlineStr">
        <is>
          <t>May</t>
        </is>
      </c>
      <c r="K30" t="inlineStr">
        <is>
          <t>Auction</t>
        </is>
      </c>
    </row>
    <row r="31">
      <c r="A31" t="n">
        <v>2031</v>
      </c>
      <c r="B31" t="inlineStr">
        <is>
          <t>VIN_U0002031</t>
        </is>
      </c>
      <c r="C31" s="2" t="n">
        <v>46184</v>
      </c>
      <c r="D31" t="n">
        <v>24016</v>
      </c>
      <c r="E31" t="n">
        <v>21615</v>
      </c>
      <c r="F31" t="n">
        <v>403</v>
      </c>
      <c r="G31" t="n">
        <v>84</v>
      </c>
      <c r="H31">
        <f>G31*E31*FloorPlanRate/365</f>
        <v/>
      </c>
      <c r="I31">
        <f>D31-E31-F31-H31</f>
        <v/>
      </c>
      <c r="J31" t="inlineStr">
        <is>
          <t>Jun</t>
        </is>
      </c>
      <c r="K31" t="inlineStr">
        <is>
          <t>Trade-in</t>
        </is>
      </c>
    </row>
    <row r="40">
      <c r="A40" s="1" t="inlineStr">
        <is>
          <t>SUMMARY</t>
        </is>
      </c>
    </row>
    <row r="41">
      <c r="A41" t="inlineStr">
        <is>
          <t>Total Adjusted Gross</t>
        </is>
      </c>
      <c r="B41">
        <f>SUM(I2:I31)</f>
        <v/>
      </c>
    </row>
    <row r="42">
      <c r="A42" t="inlineStr">
        <is>
          <t>Weighted Avg DOL</t>
        </is>
      </c>
      <c r="B42">
        <f>SUMPRODUCT(G2:G31,D2:D31)/SUM(D2:D31)</f>
        <v/>
      </c>
    </row>
    <row r="45">
      <c r="A45" t="inlineStr">
        <is>
          <t>Used Gross Jan</t>
        </is>
      </c>
      <c r="B45">
        <f>SUMIFS(I2:I31,J2:J31,"Jan")</f>
        <v/>
      </c>
    </row>
    <row r="46">
      <c r="A46" t="inlineStr">
        <is>
          <t>Used Gross Feb</t>
        </is>
      </c>
      <c r="B46">
        <f>SUMIFS(I2:I31,J2:J31,"Feb")</f>
        <v/>
      </c>
    </row>
    <row r="47">
      <c r="A47" t="inlineStr">
        <is>
          <t>Used Gross Mar</t>
        </is>
      </c>
      <c r="B47">
        <f>SUMIFS(I2:I31,J2:J31,"Mar")</f>
        <v/>
      </c>
    </row>
    <row r="48">
      <c r="A48" t="inlineStr">
        <is>
          <t>Used Gross Apr</t>
        </is>
      </c>
      <c r="B48">
        <f>SUMIFS(I2:I31,J2:J31,"Apr")</f>
        <v/>
      </c>
    </row>
    <row r="49">
      <c r="A49" t="inlineStr">
        <is>
          <t>Used Gross May</t>
        </is>
      </c>
      <c r="B49">
        <f>SUMIFS(I2:I31,J2:J31,"May")</f>
        <v/>
      </c>
    </row>
    <row r="50">
      <c r="A50" t="inlineStr">
        <is>
          <t>Used Gross Jun</t>
        </is>
      </c>
      <c r="B50">
        <f>SUMIFS(I2:I31,J2:J31,"Jun")</f>
        <v/>
      </c>
    </row>
    <row r="51">
      <c r="A51" t="inlineStr">
        <is>
          <t>Used Gross Jul</t>
        </is>
      </c>
      <c r="B51">
        <f>SUMIFS(I2:I31,J2:J31,"Jul")</f>
        <v/>
      </c>
    </row>
    <row r="52">
      <c r="A52" t="inlineStr">
        <is>
          <t>Used Gross Aug</t>
        </is>
      </c>
      <c r="B52">
        <f>SUMIFS(I2:I31,J2:J31,"Aug")</f>
        <v/>
      </c>
    </row>
    <row r="53">
      <c r="A53" t="inlineStr">
        <is>
          <t>Used Gross Sep</t>
        </is>
      </c>
      <c r="B53">
        <f>SUMIFS(I2:I31,J2:J31,"Sep")</f>
        <v/>
      </c>
    </row>
    <row r="54">
      <c r="A54" t="inlineStr">
        <is>
          <t>Used Gross Oct</t>
        </is>
      </c>
      <c r="B54">
        <f>SUMIFS(I2:I31,J2:J31,"Oct")</f>
        <v/>
      </c>
    </row>
    <row r="55">
      <c r="A55" t="inlineStr">
        <is>
          <t>Used Gross Nov</t>
        </is>
      </c>
      <c r="B55">
        <f>SUMIFS(I2:I31,J2:J31,"Nov")</f>
        <v/>
      </c>
    </row>
    <row r="56">
      <c r="A56" t="inlineStr">
        <is>
          <t>Used Gross Dec</t>
        </is>
      </c>
      <c r="B56">
        <f>SUMIFS(I2:I31,J2:J31,"Dec")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Deal#</t>
        </is>
      </c>
      <c r="B1" s="1" t="inlineStr">
        <is>
          <t>Product Type</t>
        </is>
      </c>
      <c r="C1" s="1" t="inlineStr">
        <is>
          <t>Product Cost</t>
        </is>
      </c>
      <c r="D1" s="1" t="inlineStr">
        <is>
          <t>Product Revenue</t>
        </is>
      </c>
      <c r="E1" s="1" t="inlineStr">
        <is>
          <t>Reserve</t>
        </is>
      </c>
      <c r="F1" s="1" t="inlineStr">
        <is>
          <t>Month</t>
        </is>
      </c>
    </row>
    <row r="2">
      <c r="A2" t="n">
        <v>1007</v>
      </c>
      <c r="B2" t="inlineStr">
        <is>
          <t>GAP</t>
        </is>
      </c>
      <c r="C2" t="n">
        <v>370</v>
      </c>
      <c r="D2" t="n">
        <v>1502</v>
      </c>
      <c r="E2" t="n">
        <v>298</v>
      </c>
      <c r="F2" t="inlineStr">
        <is>
          <t>Jan</t>
        </is>
      </c>
    </row>
    <row r="3">
      <c r="A3" t="n">
        <v>1032</v>
      </c>
      <c r="B3" t="inlineStr">
        <is>
          <t>GAP</t>
        </is>
      </c>
      <c r="C3" t="n">
        <v>610</v>
      </c>
      <c r="D3" t="n">
        <v>1030</v>
      </c>
      <c r="E3" t="n">
        <v>134</v>
      </c>
      <c r="F3" t="inlineStr">
        <is>
          <t>Feb</t>
        </is>
      </c>
    </row>
    <row r="4">
      <c r="A4" t="n">
        <v>1026</v>
      </c>
      <c r="B4" t="inlineStr">
        <is>
          <t>Warranty</t>
        </is>
      </c>
      <c r="C4" t="n">
        <v>599</v>
      </c>
      <c r="D4" t="n">
        <v>1442</v>
      </c>
      <c r="E4" t="n">
        <v>282</v>
      </c>
      <c r="F4" t="inlineStr">
        <is>
          <t>Mar</t>
        </is>
      </c>
    </row>
    <row r="5">
      <c r="A5" t="n">
        <v>1020</v>
      </c>
      <c r="B5" t="inlineStr">
        <is>
          <t>Maintenance</t>
        </is>
      </c>
      <c r="C5" t="n">
        <v>769</v>
      </c>
      <c r="D5" t="n">
        <v>2065</v>
      </c>
      <c r="E5" t="n">
        <v>129</v>
      </c>
      <c r="F5" t="inlineStr">
        <is>
          <t>Apr</t>
        </is>
      </c>
    </row>
    <row r="6">
      <c r="A6" t="n">
        <v>1014</v>
      </c>
      <c r="B6" t="inlineStr">
        <is>
          <t>Tire &amp; Wheel</t>
        </is>
      </c>
      <c r="C6" t="n">
        <v>422</v>
      </c>
      <c r="D6" t="n">
        <v>841</v>
      </c>
      <c r="E6" t="n">
        <v>346</v>
      </c>
      <c r="F6" t="inlineStr">
        <is>
          <t>May</t>
        </is>
      </c>
    </row>
    <row r="7">
      <c r="A7" t="n">
        <v>1036</v>
      </c>
      <c r="B7" t="inlineStr">
        <is>
          <t>Warranty</t>
        </is>
      </c>
      <c r="C7" t="n">
        <v>521</v>
      </c>
      <c r="D7" t="n">
        <v>938</v>
      </c>
      <c r="E7" t="n">
        <v>75</v>
      </c>
      <c r="F7" t="inlineStr">
        <is>
          <t>Jun</t>
        </is>
      </c>
    </row>
    <row r="8">
      <c r="A8" t="n">
        <v>1039</v>
      </c>
      <c r="B8" t="inlineStr">
        <is>
          <t>Maintenance</t>
        </is>
      </c>
      <c r="C8" t="n">
        <v>714</v>
      </c>
      <c r="D8" t="n">
        <v>2101</v>
      </c>
      <c r="E8" t="n">
        <v>130</v>
      </c>
      <c r="F8" t="inlineStr">
        <is>
          <t>Jul</t>
        </is>
      </c>
    </row>
    <row r="9">
      <c r="A9" t="n">
        <v>1005</v>
      </c>
      <c r="B9" t="inlineStr">
        <is>
          <t>Warranty</t>
        </is>
      </c>
      <c r="C9" t="n">
        <v>390</v>
      </c>
      <c r="D9" t="n">
        <v>830</v>
      </c>
      <c r="E9" t="n">
        <v>354</v>
      </c>
      <c r="F9" t="inlineStr">
        <is>
          <t>Aug</t>
        </is>
      </c>
    </row>
    <row r="10">
      <c r="A10" t="n">
        <v>1006</v>
      </c>
      <c r="B10" t="inlineStr">
        <is>
          <t>GAP</t>
        </is>
      </c>
      <c r="C10" t="n">
        <v>613</v>
      </c>
      <c r="D10" t="n">
        <v>1158</v>
      </c>
      <c r="E10" t="n">
        <v>341</v>
      </c>
      <c r="F10" t="inlineStr">
        <is>
          <t>Sep</t>
        </is>
      </c>
    </row>
    <row r="11">
      <c r="A11" t="n">
        <v>1017</v>
      </c>
      <c r="B11" t="inlineStr">
        <is>
          <t>Warranty</t>
        </is>
      </c>
      <c r="C11" t="n">
        <v>834</v>
      </c>
      <c r="D11" t="n">
        <v>1301</v>
      </c>
      <c r="E11" t="n">
        <v>264</v>
      </c>
      <c r="F11" t="inlineStr">
        <is>
          <t>Oct</t>
        </is>
      </c>
    </row>
    <row r="12">
      <c r="A12" t="n">
        <v>1039</v>
      </c>
      <c r="B12" t="inlineStr">
        <is>
          <t>Tire &amp; Wheel</t>
        </is>
      </c>
      <c r="C12" t="n">
        <v>467</v>
      </c>
      <c r="D12" t="n">
        <v>1185</v>
      </c>
      <c r="E12" t="n">
        <v>392</v>
      </c>
      <c r="F12" t="inlineStr">
        <is>
          <t>Nov</t>
        </is>
      </c>
    </row>
    <row r="13">
      <c r="A13" t="n">
        <v>1022</v>
      </c>
      <c r="B13" t="inlineStr">
        <is>
          <t>GAP</t>
        </is>
      </c>
      <c r="C13" t="n">
        <v>471</v>
      </c>
      <c r="D13" t="n">
        <v>1581</v>
      </c>
      <c r="E13" t="n">
        <v>117</v>
      </c>
      <c r="F13" t="inlineStr">
        <is>
          <t>Dec</t>
        </is>
      </c>
    </row>
    <row r="14">
      <c r="A14" t="n">
        <v>1021</v>
      </c>
      <c r="B14" t="inlineStr">
        <is>
          <t>Maintenance</t>
        </is>
      </c>
      <c r="C14" t="n">
        <v>523</v>
      </c>
      <c r="D14" t="n">
        <v>971</v>
      </c>
      <c r="E14" t="n">
        <v>54</v>
      </c>
      <c r="F14" t="inlineStr">
        <is>
          <t>Jan</t>
        </is>
      </c>
    </row>
    <row r="15">
      <c r="A15" t="n">
        <v>1031</v>
      </c>
      <c r="B15" t="inlineStr">
        <is>
          <t>Warranty</t>
        </is>
      </c>
      <c r="C15" t="n">
        <v>275</v>
      </c>
      <c r="D15" t="n">
        <v>1011</v>
      </c>
      <c r="E15" t="n">
        <v>309</v>
      </c>
      <c r="F15" t="inlineStr">
        <is>
          <t>Feb</t>
        </is>
      </c>
    </row>
    <row r="16">
      <c r="A16" t="n">
        <v>1018</v>
      </c>
      <c r="B16" t="inlineStr">
        <is>
          <t>GAP</t>
        </is>
      </c>
      <c r="C16" t="n">
        <v>557</v>
      </c>
      <c r="D16" t="n">
        <v>997</v>
      </c>
      <c r="E16" t="n">
        <v>175</v>
      </c>
      <c r="F16" t="inlineStr">
        <is>
          <t>Mar</t>
        </is>
      </c>
    </row>
    <row r="17">
      <c r="A17" t="n">
        <v>1025</v>
      </c>
      <c r="B17" t="inlineStr">
        <is>
          <t>Tire &amp; Wheel</t>
        </is>
      </c>
      <c r="C17" t="n">
        <v>361</v>
      </c>
      <c r="D17" t="n">
        <v>1558</v>
      </c>
      <c r="E17" t="n">
        <v>328</v>
      </c>
      <c r="F17" t="inlineStr">
        <is>
          <t>Apr</t>
        </is>
      </c>
    </row>
    <row r="18">
      <c r="A18" t="n">
        <v>1021</v>
      </c>
      <c r="B18" t="inlineStr">
        <is>
          <t>Warranty</t>
        </is>
      </c>
      <c r="C18" t="n">
        <v>883</v>
      </c>
      <c r="D18" t="n">
        <v>1796</v>
      </c>
      <c r="E18" t="n">
        <v>389</v>
      </c>
      <c r="F18" t="inlineStr">
        <is>
          <t>May</t>
        </is>
      </c>
    </row>
    <row r="19">
      <c r="A19" t="n">
        <v>1008</v>
      </c>
      <c r="B19" t="inlineStr">
        <is>
          <t>GAP</t>
        </is>
      </c>
      <c r="C19" t="n">
        <v>470</v>
      </c>
      <c r="D19" t="n">
        <v>1006</v>
      </c>
      <c r="E19" t="n">
        <v>104</v>
      </c>
      <c r="F19" t="inlineStr">
        <is>
          <t>Jun</t>
        </is>
      </c>
    </row>
    <row r="20">
      <c r="A20" t="n">
        <v>1037</v>
      </c>
      <c r="B20" t="inlineStr">
        <is>
          <t>GAP</t>
        </is>
      </c>
      <c r="C20" t="n">
        <v>478</v>
      </c>
      <c r="D20" t="n">
        <v>1355</v>
      </c>
      <c r="E20" t="n">
        <v>359</v>
      </c>
      <c r="F20" t="inlineStr">
        <is>
          <t>Jul</t>
        </is>
      </c>
    </row>
    <row r="21">
      <c r="A21" t="n">
        <v>1015</v>
      </c>
      <c r="B21" t="inlineStr">
        <is>
          <t>Tire &amp; Wheel</t>
        </is>
      </c>
      <c r="C21" t="n">
        <v>408</v>
      </c>
      <c r="D21" t="n">
        <v>1248</v>
      </c>
      <c r="E21" t="n">
        <v>308</v>
      </c>
      <c r="F21" t="inlineStr">
        <is>
          <t>Aug</t>
        </is>
      </c>
    </row>
    <row r="22">
      <c r="A22" t="n">
        <v>1033</v>
      </c>
      <c r="B22" t="inlineStr">
        <is>
          <t>Tire &amp; Wheel</t>
        </is>
      </c>
      <c r="C22" t="n">
        <v>252</v>
      </c>
      <c r="D22" t="n">
        <v>741</v>
      </c>
      <c r="E22" t="n">
        <v>374</v>
      </c>
      <c r="F22" t="inlineStr">
        <is>
          <t>Sep</t>
        </is>
      </c>
    </row>
    <row r="23">
      <c r="A23" t="n">
        <v>1029</v>
      </c>
      <c r="B23" t="inlineStr">
        <is>
          <t>Tire &amp; Wheel</t>
        </is>
      </c>
      <c r="C23" t="n">
        <v>245</v>
      </c>
      <c r="D23" t="n">
        <v>552</v>
      </c>
      <c r="E23" t="n">
        <v>220</v>
      </c>
      <c r="F23" t="inlineStr">
        <is>
          <t>Oct</t>
        </is>
      </c>
    </row>
    <row r="24">
      <c r="A24" t="n">
        <v>1010</v>
      </c>
      <c r="B24" t="inlineStr">
        <is>
          <t>Tire &amp; Wheel</t>
        </is>
      </c>
      <c r="C24" t="n">
        <v>365</v>
      </c>
      <c r="D24" t="n">
        <v>1569</v>
      </c>
      <c r="E24" t="n">
        <v>332</v>
      </c>
      <c r="F24" t="inlineStr">
        <is>
          <t>Nov</t>
        </is>
      </c>
    </row>
    <row r="25">
      <c r="A25" t="n">
        <v>1029</v>
      </c>
      <c r="B25" t="inlineStr">
        <is>
          <t>Warranty</t>
        </is>
      </c>
      <c r="C25" t="n">
        <v>314</v>
      </c>
      <c r="D25" t="n">
        <v>768</v>
      </c>
      <c r="E25" t="n">
        <v>126</v>
      </c>
      <c r="F25" t="inlineStr">
        <is>
          <t>Dec</t>
        </is>
      </c>
    </row>
    <row r="26">
      <c r="A26" t="n">
        <v>1036</v>
      </c>
      <c r="B26" t="inlineStr">
        <is>
          <t>Warranty</t>
        </is>
      </c>
      <c r="C26" t="n">
        <v>578</v>
      </c>
      <c r="D26" t="n">
        <v>1181</v>
      </c>
      <c r="E26" t="n">
        <v>270</v>
      </c>
      <c r="F26" t="inlineStr">
        <is>
          <t>Jan</t>
        </is>
      </c>
    </row>
    <row r="27">
      <c r="A27" t="n">
        <v>1010</v>
      </c>
      <c r="B27" t="inlineStr">
        <is>
          <t>Warranty</t>
        </is>
      </c>
      <c r="C27" t="n">
        <v>515</v>
      </c>
      <c r="D27" t="n">
        <v>1561</v>
      </c>
      <c r="E27" t="n">
        <v>70</v>
      </c>
      <c r="F27" t="inlineStr">
        <is>
          <t>Feb</t>
        </is>
      </c>
    </row>
    <row r="28">
      <c r="A28" t="n">
        <v>1024</v>
      </c>
      <c r="B28" t="inlineStr">
        <is>
          <t>GAP</t>
        </is>
      </c>
      <c r="C28" t="n">
        <v>898</v>
      </c>
      <c r="D28" t="n">
        <v>1709</v>
      </c>
      <c r="E28" t="n">
        <v>391</v>
      </c>
      <c r="F28" t="inlineStr">
        <is>
          <t>Mar</t>
        </is>
      </c>
    </row>
    <row r="29">
      <c r="A29" t="n">
        <v>1008</v>
      </c>
      <c r="B29" t="inlineStr">
        <is>
          <t>Tire &amp; Wheel</t>
        </is>
      </c>
      <c r="C29" t="n">
        <v>773</v>
      </c>
      <c r="D29" t="n">
        <v>1905</v>
      </c>
      <c r="E29" t="n">
        <v>367</v>
      </c>
      <c r="F29" t="inlineStr">
        <is>
          <t>Apr</t>
        </is>
      </c>
    </row>
    <row r="30">
      <c r="A30" t="n">
        <v>1011</v>
      </c>
      <c r="B30" t="inlineStr">
        <is>
          <t>GAP</t>
        </is>
      </c>
      <c r="C30" t="n">
        <v>366</v>
      </c>
      <c r="D30" t="n">
        <v>1028</v>
      </c>
      <c r="E30" t="n">
        <v>261</v>
      </c>
      <c r="F30" t="inlineStr">
        <is>
          <t>May</t>
        </is>
      </c>
    </row>
    <row r="31">
      <c r="A31" t="n">
        <v>1003</v>
      </c>
      <c r="B31" t="inlineStr">
        <is>
          <t>GAP</t>
        </is>
      </c>
      <c r="C31" t="n">
        <v>540</v>
      </c>
      <c r="D31" t="n">
        <v>1683</v>
      </c>
      <c r="E31" t="n">
        <v>392</v>
      </c>
      <c r="F31" t="inlineStr">
        <is>
          <t>Jun</t>
        </is>
      </c>
    </row>
    <row r="32">
      <c r="A32" t="n">
        <v>1017</v>
      </c>
      <c r="B32" t="inlineStr">
        <is>
          <t>Tire &amp; Wheel</t>
        </is>
      </c>
      <c r="C32" t="n">
        <v>363</v>
      </c>
      <c r="D32" t="n">
        <v>884</v>
      </c>
      <c r="E32" t="n">
        <v>245</v>
      </c>
      <c r="F32" t="inlineStr">
        <is>
          <t>Jul</t>
        </is>
      </c>
    </row>
    <row r="33">
      <c r="A33" t="n">
        <v>1004</v>
      </c>
      <c r="B33" t="inlineStr">
        <is>
          <t>Maintenance</t>
        </is>
      </c>
      <c r="C33" t="n">
        <v>427</v>
      </c>
      <c r="D33" t="n">
        <v>1135</v>
      </c>
      <c r="E33" t="n">
        <v>285</v>
      </c>
      <c r="F33" t="inlineStr">
        <is>
          <t>Aug</t>
        </is>
      </c>
    </row>
    <row r="34">
      <c r="A34" t="n">
        <v>1024</v>
      </c>
      <c r="B34" t="inlineStr">
        <is>
          <t>Tire &amp; Wheel</t>
        </is>
      </c>
      <c r="C34" t="n">
        <v>433</v>
      </c>
      <c r="D34" t="n">
        <v>1189</v>
      </c>
      <c r="E34" t="n">
        <v>62</v>
      </c>
      <c r="F34" t="inlineStr">
        <is>
          <t>Sep</t>
        </is>
      </c>
    </row>
    <row r="35">
      <c r="A35" t="n">
        <v>1014</v>
      </c>
      <c r="B35" t="inlineStr">
        <is>
          <t>Maintenance</t>
        </is>
      </c>
      <c r="C35" t="n">
        <v>536</v>
      </c>
      <c r="D35" t="n">
        <v>1406</v>
      </c>
      <c r="E35" t="n">
        <v>85</v>
      </c>
      <c r="F35" t="inlineStr">
        <is>
          <t>Oct</t>
        </is>
      </c>
    </row>
    <row r="36">
      <c r="A36" t="n">
        <v>1019</v>
      </c>
      <c r="B36" t="inlineStr">
        <is>
          <t>Tire &amp; Wheel</t>
        </is>
      </c>
      <c r="C36" t="n">
        <v>856</v>
      </c>
      <c r="D36" t="n">
        <v>2199</v>
      </c>
      <c r="E36" t="n">
        <v>254</v>
      </c>
      <c r="F36" t="inlineStr">
        <is>
          <t>Nov</t>
        </is>
      </c>
    </row>
    <row r="37">
      <c r="A37" t="n">
        <v>1036</v>
      </c>
      <c r="B37" t="inlineStr">
        <is>
          <t>Tire &amp; Wheel</t>
        </is>
      </c>
      <c r="C37" t="n">
        <v>228</v>
      </c>
      <c r="D37" t="n">
        <v>764</v>
      </c>
      <c r="E37" t="n">
        <v>183</v>
      </c>
      <c r="F37" t="inlineStr">
        <is>
          <t>Dec</t>
        </is>
      </c>
    </row>
    <row r="38">
      <c r="A38" t="n">
        <v>1013</v>
      </c>
      <c r="B38" t="inlineStr">
        <is>
          <t>Tire &amp; Wheel</t>
        </is>
      </c>
      <c r="C38" t="n">
        <v>239</v>
      </c>
      <c r="D38" t="n">
        <v>761</v>
      </c>
      <c r="E38" t="n">
        <v>355</v>
      </c>
      <c r="F38" t="inlineStr">
        <is>
          <t>Jan</t>
        </is>
      </c>
    </row>
    <row r="39">
      <c r="A39" t="n">
        <v>1029</v>
      </c>
      <c r="B39" t="inlineStr">
        <is>
          <t>Tire &amp; Wheel</t>
        </is>
      </c>
      <c r="C39" t="n">
        <v>521</v>
      </c>
      <c r="D39" t="n">
        <v>1714</v>
      </c>
      <c r="E39" t="n">
        <v>360</v>
      </c>
      <c r="F39" t="inlineStr">
        <is>
          <t>Feb</t>
        </is>
      </c>
    </row>
    <row r="40">
      <c r="A40" t="n">
        <v>1034</v>
      </c>
      <c r="B40" t="inlineStr">
        <is>
          <t>Warranty</t>
        </is>
      </c>
      <c r="C40" t="n">
        <v>594</v>
      </c>
      <c r="D40" t="n">
        <v>1283</v>
      </c>
      <c r="E40" t="n">
        <v>180</v>
      </c>
      <c r="F40" t="inlineStr">
        <is>
          <t>Mar</t>
        </is>
      </c>
    </row>
    <row r="41">
      <c r="A41" t="n">
        <v>1004</v>
      </c>
      <c r="B41" t="inlineStr">
        <is>
          <t>Maintenance</t>
        </is>
      </c>
      <c r="C41" t="n">
        <v>201</v>
      </c>
      <c r="D41" t="n">
        <v>1565</v>
      </c>
      <c r="E41" t="n">
        <v>325</v>
      </c>
      <c r="F41" t="inlineStr">
        <is>
          <t>Apr</t>
        </is>
      </c>
    </row>
    <row r="42">
      <c r="A42" t="n">
        <v>1014</v>
      </c>
      <c r="B42" t="inlineStr">
        <is>
          <t>Tire &amp; Wheel</t>
        </is>
      </c>
      <c r="C42" t="n">
        <v>641</v>
      </c>
      <c r="D42" t="n">
        <v>1084</v>
      </c>
      <c r="E42" t="n">
        <v>390</v>
      </c>
      <c r="F42" t="inlineStr">
        <is>
          <t>May</t>
        </is>
      </c>
    </row>
    <row r="43">
      <c r="A43" t="n">
        <v>1023</v>
      </c>
      <c r="B43" t="inlineStr">
        <is>
          <t>Tire &amp; Wheel</t>
        </is>
      </c>
      <c r="C43" t="n">
        <v>879</v>
      </c>
      <c r="D43" t="n">
        <v>1434</v>
      </c>
      <c r="E43" t="n">
        <v>203</v>
      </c>
      <c r="F43" t="inlineStr">
        <is>
          <t>Jun</t>
        </is>
      </c>
    </row>
    <row r="44">
      <c r="A44" t="n">
        <v>1034</v>
      </c>
      <c r="B44" t="inlineStr">
        <is>
          <t>Tire &amp; Wheel</t>
        </is>
      </c>
      <c r="C44" t="n">
        <v>882</v>
      </c>
      <c r="D44" t="n">
        <v>2018</v>
      </c>
      <c r="E44" t="n">
        <v>217</v>
      </c>
      <c r="F44" t="inlineStr">
        <is>
          <t>Jul</t>
        </is>
      </c>
    </row>
    <row r="45">
      <c r="A45" t="n">
        <v>1027</v>
      </c>
      <c r="B45" t="inlineStr">
        <is>
          <t>Tire &amp; Wheel</t>
        </is>
      </c>
      <c r="C45" t="n">
        <v>767</v>
      </c>
      <c r="D45" t="n">
        <v>1327</v>
      </c>
      <c r="E45" t="n">
        <v>148</v>
      </c>
      <c r="F45" t="inlineStr">
        <is>
          <t>Aug</t>
        </is>
      </c>
    </row>
    <row r="46">
      <c r="A46" t="n">
        <v>1028</v>
      </c>
      <c r="B46" t="inlineStr">
        <is>
          <t>Maintenance</t>
        </is>
      </c>
      <c r="C46" t="n">
        <v>893</v>
      </c>
      <c r="D46" t="n">
        <v>1549</v>
      </c>
      <c r="E46" t="n">
        <v>365</v>
      </c>
      <c r="F46" t="inlineStr">
        <is>
          <t>Sep</t>
        </is>
      </c>
    </row>
    <row r="47">
      <c r="A47" t="n">
        <v>1038</v>
      </c>
      <c r="B47" t="inlineStr">
        <is>
          <t>Tire &amp; Wheel</t>
        </is>
      </c>
      <c r="C47" t="n">
        <v>615</v>
      </c>
      <c r="D47" t="n">
        <v>915</v>
      </c>
      <c r="E47" t="n">
        <v>205</v>
      </c>
      <c r="F47" t="inlineStr">
        <is>
          <t>Oct</t>
        </is>
      </c>
    </row>
    <row r="48">
      <c r="A48" t="n">
        <v>1020</v>
      </c>
      <c r="B48" t="inlineStr">
        <is>
          <t>GAP</t>
        </is>
      </c>
      <c r="C48" t="n">
        <v>640</v>
      </c>
      <c r="D48" t="n">
        <v>1599</v>
      </c>
      <c r="E48" t="n">
        <v>288</v>
      </c>
      <c r="F48" t="inlineStr">
        <is>
          <t>Nov</t>
        </is>
      </c>
    </row>
    <row r="49">
      <c r="A49" t="n">
        <v>1030</v>
      </c>
      <c r="B49" t="inlineStr">
        <is>
          <t>Maintenance</t>
        </is>
      </c>
      <c r="C49" t="n">
        <v>891</v>
      </c>
      <c r="D49" t="n">
        <v>1628</v>
      </c>
      <c r="E49" t="n">
        <v>311</v>
      </c>
      <c r="F49" t="inlineStr">
        <is>
          <t>Dec</t>
        </is>
      </c>
    </row>
    <row r="50">
      <c r="A50" t="n">
        <v>1032</v>
      </c>
      <c r="B50" t="inlineStr">
        <is>
          <t>GAP</t>
        </is>
      </c>
      <c r="C50" t="n">
        <v>874</v>
      </c>
      <c r="D50" t="n">
        <v>1347</v>
      </c>
      <c r="E50" t="n">
        <v>195</v>
      </c>
      <c r="F50" t="inlineStr">
        <is>
          <t>Jan</t>
        </is>
      </c>
    </row>
    <row r="51">
      <c r="A51" t="n">
        <v>1034</v>
      </c>
      <c r="B51" t="inlineStr">
        <is>
          <t>Tire &amp; Wheel</t>
        </is>
      </c>
      <c r="C51" t="n">
        <v>295</v>
      </c>
      <c r="D51" t="n">
        <v>1076</v>
      </c>
      <c r="E51" t="n">
        <v>394</v>
      </c>
      <c r="F51" t="inlineStr">
        <is>
          <t>Feb</t>
        </is>
      </c>
    </row>
    <row r="55">
      <c r="A55" t="inlineStr">
        <is>
          <t>Total F&amp;I Revenue</t>
        </is>
      </c>
      <c r="B55">
        <f>SUM(D2:D51)</f>
        <v/>
      </c>
    </row>
    <row r="56">
      <c r="A56" t="inlineStr">
        <is>
          <t>Deal Count</t>
        </is>
      </c>
      <c r="B56">
        <f>COUNTA(A2:A51)</f>
        <v/>
      </c>
    </row>
    <row r="57">
      <c r="A57" t="inlineStr">
        <is>
          <t>PVR</t>
        </is>
      </c>
      <c r="B57">
        <f>B55/B56</f>
        <v/>
      </c>
    </row>
    <row r="60">
      <c r="A60" t="inlineStr">
        <is>
          <t>F&amp;I Gross Jan</t>
        </is>
      </c>
      <c r="B60">
        <f>SUMIFS(D2:D51,F2:F51,"Jan")-SUMIFS(C2:C51,F2:F51,"Jan")</f>
        <v/>
      </c>
    </row>
    <row r="61">
      <c r="A61" t="inlineStr">
        <is>
          <t>F&amp;I Gross Feb</t>
        </is>
      </c>
      <c r="B61">
        <f>SUMIFS(D2:D51,F2:F51,"Feb")-SUMIFS(C2:C51,F2:F51,"Feb")</f>
        <v/>
      </c>
    </row>
    <row r="62">
      <c r="A62" t="inlineStr">
        <is>
          <t>F&amp;I Gross Mar</t>
        </is>
      </c>
      <c r="B62">
        <f>SUMIFS(D2:D51,F2:F51,"Mar")-SUMIFS(C2:C51,F2:F51,"Mar")</f>
        <v/>
      </c>
    </row>
    <row r="63">
      <c r="A63" t="inlineStr">
        <is>
          <t>F&amp;I Gross Apr</t>
        </is>
      </c>
      <c r="B63">
        <f>SUMIFS(D2:D51,F2:F51,"Apr")-SUMIFS(C2:C51,F2:F51,"Apr")</f>
        <v/>
      </c>
    </row>
    <row r="64">
      <c r="A64" t="inlineStr">
        <is>
          <t>F&amp;I Gross May</t>
        </is>
      </c>
      <c r="B64">
        <f>SUMIFS(D2:D51,F2:F51,"May")-SUMIFS(C2:C51,F2:F51,"May")</f>
        <v/>
      </c>
    </row>
    <row r="65">
      <c r="A65" t="inlineStr">
        <is>
          <t>F&amp;I Gross Jun</t>
        </is>
      </c>
      <c r="B65">
        <f>SUMIFS(D2:D51,F2:F51,"Jun")-SUMIFS(C2:C51,F2:F51,"Jun")</f>
        <v/>
      </c>
    </row>
    <row r="66">
      <c r="A66" t="inlineStr">
        <is>
          <t>F&amp;I Gross Jul</t>
        </is>
      </c>
      <c r="B66">
        <f>SUMIFS(D2:D51,F2:F51,"Jul")-SUMIFS(C2:C51,F2:F51,"Jul")</f>
        <v/>
      </c>
    </row>
    <row r="67">
      <c r="A67" t="inlineStr">
        <is>
          <t>F&amp;I Gross Aug</t>
        </is>
      </c>
      <c r="B67">
        <f>SUMIFS(D2:D51,F2:F51,"Aug")-SUMIFS(C2:C51,F2:F51,"Aug")</f>
        <v/>
      </c>
    </row>
    <row r="68">
      <c r="A68" t="inlineStr">
        <is>
          <t>F&amp;I Gross Sep</t>
        </is>
      </c>
      <c r="B68">
        <f>SUMIFS(D2:D51,F2:F51,"Sep")-SUMIFS(C2:C51,F2:F51,"Sep")</f>
        <v/>
      </c>
    </row>
    <row r="69">
      <c r="A69" t="inlineStr">
        <is>
          <t>F&amp;I Gross Oct</t>
        </is>
      </c>
      <c r="B69">
        <f>SUMIFS(D2:D51,F2:F51,"Oct")-SUMIFS(C2:C51,F2:F51,"Oct")</f>
        <v/>
      </c>
    </row>
    <row r="70">
      <c r="A70" t="inlineStr">
        <is>
          <t>F&amp;I Gross Nov</t>
        </is>
      </c>
      <c r="B70">
        <f>SUMIFS(D2:D51,F2:F51,"Nov")-SUMIFS(C2:C51,F2:F51,"Nov")</f>
        <v/>
      </c>
    </row>
    <row r="71">
      <c r="A71" t="inlineStr">
        <is>
          <t>F&amp;I Gross Dec</t>
        </is>
      </c>
      <c r="B71">
        <f>SUMIFS(D2:D51,F2:F51,"Dec")-SUMIFS(C2:C51,F2:F51,"Dec")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RO#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Labor Revenue</t>
        </is>
      </c>
      <c r="E1" s="1" t="inlineStr">
        <is>
          <t>Parts Revenue</t>
        </is>
      </c>
      <c r="F1" s="1" t="inlineStr">
        <is>
          <t>Labor Cost</t>
        </is>
      </c>
      <c r="G1" s="1" t="inlineStr">
        <is>
          <t>Parts Cost</t>
        </is>
      </c>
      <c r="H1" s="1" t="inlineStr">
        <is>
          <t>Month</t>
        </is>
      </c>
    </row>
    <row r="2">
      <c r="A2" t="n">
        <v>5002</v>
      </c>
      <c r="B2" s="2" t="n">
        <v>46029</v>
      </c>
      <c r="C2" t="inlineStr">
        <is>
          <t>Customer Pay</t>
        </is>
      </c>
      <c r="D2" t="n">
        <v>397</v>
      </c>
      <c r="E2" t="n">
        <v>270</v>
      </c>
      <c r="F2" t="n">
        <v>202.99</v>
      </c>
      <c r="G2" t="n">
        <v>156.46</v>
      </c>
      <c r="H2" t="inlineStr">
        <is>
          <t>Jan</t>
        </is>
      </c>
    </row>
    <row r="3">
      <c r="A3" t="n">
        <v>5003</v>
      </c>
      <c r="B3" s="2" t="n">
        <v>46061</v>
      </c>
      <c r="C3" t="inlineStr">
        <is>
          <t>Warranty</t>
        </is>
      </c>
      <c r="D3" t="n">
        <v>330</v>
      </c>
      <c r="E3" t="n">
        <v>526</v>
      </c>
      <c r="F3" t="n">
        <v>155.84</v>
      </c>
      <c r="G3" t="n">
        <v>370.15</v>
      </c>
      <c r="H3" t="inlineStr">
        <is>
          <t>Feb</t>
        </is>
      </c>
    </row>
    <row r="4">
      <c r="A4" t="n">
        <v>5004</v>
      </c>
      <c r="B4" s="2" t="n">
        <v>46090</v>
      </c>
      <c r="C4" t="inlineStr">
        <is>
          <t>Warranty</t>
        </is>
      </c>
      <c r="D4" t="n">
        <v>504</v>
      </c>
      <c r="E4" t="n">
        <v>684</v>
      </c>
      <c r="F4" t="n">
        <v>234.43</v>
      </c>
      <c r="G4" t="n">
        <v>474.47</v>
      </c>
      <c r="H4" t="inlineStr">
        <is>
          <t>Mar</t>
        </is>
      </c>
    </row>
    <row r="5">
      <c r="A5" t="n">
        <v>5005</v>
      </c>
      <c r="B5" s="2" t="n">
        <v>46122</v>
      </c>
      <c r="C5" t="inlineStr">
        <is>
          <t>Customer Pay</t>
        </is>
      </c>
      <c r="D5" t="n">
        <v>586</v>
      </c>
      <c r="E5" t="n">
        <v>449</v>
      </c>
      <c r="F5" t="n">
        <v>233.69</v>
      </c>
      <c r="G5" t="n">
        <v>305.86</v>
      </c>
      <c r="H5" t="inlineStr">
        <is>
          <t>Apr</t>
        </is>
      </c>
    </row>
    <row r="6">
      <c r="A6" t="n">
        <v>5006</v>
      </c>
      <c r="B6" s="2" t="n">
        <v>46153</v>
      </c>
      <c r="C6" t="inlineStr">
        <is>
          <t>Internal</t>
        </is>
      </c>
      <c r="D6" t="n">
        <v>848</v>
      </c>
      <c r="E6" t="n">
        <v>149</v>
      </c>
      <c r="F6" t="n">
        <v>428.82</v>
      </c>
      <c r="G6" t="n">
        <v>88.47</v>
      </c>
      <c r="H6" t="inlineStr">
        <is>
          <t>May</t>
        </is>
      </c>
    </row>
    <row r="7">
      <c r="A7" t="n">
        <v>5007</v>
      </c>
      <c r="B7" s="2" t="n">
        <v>46185</v>
      </c>
      <c r="C7" t="inlineStr">
        <is>
          <t>Customer Pay</t>
        </is>
      </c>
      <c r="D7" t="n">
        <v>610</v>
      </c>
      <c r="E7" t="n">
        <v>515</v>
      </c>
      <c r="F7" t="n">
        <v>219.63</v>
      </c>
      <c r="G7" t="n">
        <v>308.92</v>
      </c>
      <c r="H7" t="inlineStr">
        <is>
          <t>Jun</t>
        </is>
      </c>
    </row>
    <row r="8">
      <c r="A8" t="n">
        <v>5008</v>
      </c>
      <c r="B8" s="2" t="n">
        <v>46216</v>
      </c>
      <c r="C8" t="inlineStr">
        <is>
          <t>Internal</t>
        </is>
      </c>
      <c r="D8" t="n">
        <v>547</v>
      </c>
      <c r="E8" t="n">
        <v>176</v>
      </c>
      <c r="F8" t="n">
        <v>279.12</v>
      </c>
      <c r="G8" t="n">
        <v>120.3</v>
      </c>
      <c r="H8" t="inlineStr">
        <is>
          <t>Jul</t>
        </is>
      </c>
    </row>
    <row r="9">
      <c r="A9" t="n">
        <v>5009</v>
      </c>
      <c r="B9" s="2" t="n">
        <v>46248</v>
      </c>
      <c r="C9" t="inlineStr">
        <is>
          <t>Internal</t>
        </is>
      </c>
      <c r="D9" t="n">
        <v>689</v>
      </c>
      <c r="E9" t="n">
        <v>364</v>
      </c>
      <c r="F9" t="n">
        <v>372.07</v>
      </c>
      <c r="G9" t="n">
        <v>265.1</v>
      </c>
      <c r="H9" t="inlineStr">
        <is>
          <t>Aug</t>
        </is>
      </c>
    </row>
    <row r="10">
      <c r="A10" t="n">
        <v>5010</v>
      </c>
      <c r="B10" s="2" t="n">
        <v>46280</v>
      </c>
      <c r="C10" t="inlineStr">
        <is>
          <t>Warranty</t>
        </is>
      </c>
      <c r="D10" t="n">
        <v>816</v>
      </c>
      <c r="E10" t="n">
        <v>556</v>
      </c>
      <c r="F10" t="n">
        <v>355.24</v>
      </c>
      <c r="G10" t="n">
        <v>406.64</v>
      </c>
      <c r="H10" t="inlineStr">
        <is>
          <t>Sep</t>
        </is>
      </c>
    </row>
    <row r="11">
      <c r="A11" t="n">
        <v>5011</v>
      </c>
      <c r="B11" s="2" t="n">
        <v>46311</v>
      </c>
      <c r="C11" t="inlineStr">
        <is>
          <t>Internal</t>
        </is>
      </c>
      <c r="D11" t="n">
        <v>242</v>
      </c>
      <c r="E11" t="n">
        <v>526</v>
      </c>
      <c r="F11" t="n">
        <v>106.48</v>
      </c>
      <c r="G11" t="n">
        <v>368.39</v>
      </c>
      <c r="H11" t="inlineStr">
        <is>
          <t>Oct</t>
        </is>
      </c>
    </row>
    <row r="12">
      <c r="A12" t="n">
        <v>5012</v>
      </c>
      <c r="B12" s="2" t="n">
        <v>46343</v>
      </c>
      <c r="C12" t="inlineStr">
        <is>
          <t>Warranty</t>
        </is>
      </c>
      <c r="D12" t="n">
        <v>363</v>
      </c>
      <c r="E12" t="n">
        <v>573</v>
      </c>
      <c r="F12" t="n">
        <v>162.23</v>
      </c>
      <c r="G12" t="n">
        <v>342.57</v>
      </c>
      <c r="H12" t="inlineStr">
        <is>
          <t>Nov</t>
        </is>
      </c>
    </row>
    <row r="13">
      <c r="A13" t="n">
        <v>5013</v>
      </c>
      <c r="B13" s="2" t="n">
        <v>46374</v>
      </c>
      <c r="C13" t="inlineStr">
        <is>
          <t>Internal</t>
        </is>
      </c>
      <c r="D13" t="n">
        <v>159</v>
      </c>
      <c r="E13" t="n">
        <v>332</v>
      </c>
      <c r="F13" t="n">
        <v>63.11</v>
      </c>
      <c r="G13" t="n">
        <v>204.9</v>
      </c>
      <c r="H13" t="inlineStr">
        <is>
          <t>Dec</t>
        </is>
      </c>
    </row>
    <row r="14">
      <c r="A14" t="n">
        <v>5014</v>
      </c>
      <c r="B14" s="2" t="n">
        <v>46041</v>
      </c>
      <c r="C14" t="inlineStr">
        <is>
          <t>Customer Pay</t>
        </is>
      </c>
      <c r="D14" t="n">
        <v>162</v>
      </c>
      <c r="E14" t="n">
        <v>181</v>
      </c>
      <c r="F14" t="n">
        <v>61.59</v>
      </c>
      <c r="G14" t="n">
        <v>113.42</v>
      </c>
      <c r="H14" t="inlineStr">
        <is>
          <t>Jan</t>
        </is>
      </c>
    </row>
    <row r="15">
      <c r="A15" t="n">
        <v>5015</v>
      </c>
      <c r="B15" s="2" t="n">
        <v>46073</v>
      </c>
      <c r="C15" t="inlineStr">
        <is>
          <t>Internal</t>
        </is>
      </c>
      <c r="D15" t="n">
        <v>803</v>
      </c>
      <c r="E15" t="n">
        <v>259</v>
      </c>
      <c r="F15" t="n">
        <v>291.37</v>
      </c>
      <c r="G15" t="n">
        <v>163.56</v>
      </c>
      <c r="H15" t="inlineStr">
        <is>
          <t>Feb</t>
        </is>
      </c>
    </row>
    <row r="16">
      <c r="A16" t="n">
        <v>5016</v>
      </c>
      <c r="B16" s="2" t="n">
        <v>46102</v>
      </c>
      <c r="C16" t="inlineStr">
        <is>
          <t>Warranty</t>
        </is>
      </c>
      <c r="D16" t="n">
        <v>557</v>
      </c>
      <c r="E16" t="n">
        <v>465</v>
      </c>
      <c r="F16" t="n">
        <v>201.89</v>
      </c>
      <c r="G16" t="n">
        <v>333.21</v>
      </c>
      <c r="H16" t="inlineStr">
        <is>
          <t>Mar</t>
        </is>
      </c>
    </row>
    <row r="17">
      <c r="A17" t="n">
        <v>5017</v>
      </c>
      <c r="B17" s="2" t="n">
        <v>46134</v>
      </c>
      <c r="C17" t="inlineStr">
        <is>
          <t>Internal</t>
        </is>
      </c>
      <c r="D17" t="n">
        <v>868</v>
      </c>
      <c r="E17" t="n">
        <v>638</v>
      </c>
      <c r="F17" t="n">
        <v>468.04</v>
      </c>
      <c r="G17" t="n">
        <v>353.39</v>
      </c>
      <c r="H17" t="inlineStr">
        <is>
          <t>Apr</t>
        </is>
      </c>
    </row>
    <row r="18">
      <c r="A18" t="n">
        <v>5018</v>
      </c>
      <c r="B18" s="2" t="n">
        <v>46165</v>
      </c>
      <c r="C18" t="inlineStr">
        <is>
          <t>Warranty</t>
        </is>
      </c>
      <c r="D18" t="n">
        <v>469</v>
      </c>
      <c r="E18" t="n">
        <v>528</v>
      </c>
      <c r="F18" t="n">
        <v>164.7</v>
      </c>
      <c r="G18" t="n">
        <v>327.55</v>
      </c>
      <c r="H18" t="inlineStr">
        <is>
          <t>May</t>
        </is>
      </c>
    </row>
    <row r="19">
      <c r="A19" t="n">
        <v>5019</v>
      </c>
      <c r="B19" s="2" t="n">
        <v>46197</v>
      </c>
      <c r="C19" t="inlineStr">
        <is>
          <t>Internal</t>
        </is>
      </c>
      <c r="D19" t="n">
        <v>509</v>
      </c>
      <c r="E19" t="n">
        <v>591</v>
      </c>
      <c r="F19" t="n">
        <v>254.25</v>
      </c>
      <c r="G19" t="n">
        <v>389.6</v>
      </c>
      <c r="H19" t="inlineStr">
        <is>
          <t>Jun</t>
        </is>
      </c>
    </row>
    <row r="20">
      <c r="A20" t="n">
        <v>5020</v>
      </c>
      <c r="B20" s="2" t="n">
        <v>46208</v>
      </c>
      <c r="C20" t="inlineStr">
        <is>
          <t>Customer Pay</t>
        </is>
      </c>
      <c r="D20" t="n">
        <v>305</v>
      </c>
      <c r="E20" t="n">
        <v>539</v>
      </c>
      <c r="F20" t="n">
        <v>120.13</v>
      </c>
      <c r="G20" t="n">
        <v>343.43</v>
      </c>
      <c r="H20" t="inlineStr">
        <is>
          <t>Jul</t>
        </is>
      </c>
    </row>
    <row r="21">
      <c r="A21" t="n">
        <v>5021</v>
      </c>
      <c r="B21" s="2" t="n">
        <v>46240</v>
      </c>
      <c r="C21" t="inlineStr">
        <is>
          <t>Internal</t>
        </is>
      </c>
      <c r="D21" t="n">
        <v>478</v>
      </c>
      <c r="E21" t="n">
        <v>384</v>
      </c>
      <c r="F21" t="n">
        <v>231.24</v>
      </c>
      <c r="G21" t="n">
        <v>272.5</v>
      </c>
      <c r="H21" t="inlineStr">
        <is>
          <t>Aug</t>
        </is>
      </c>
    </row>
    <row r="22">
      <c r="A22" t="n">
        <v>5022</v>
      </c>
      <c r="B22" s="2" t="n">
        <v>46272</v>
      </c>
      <c r="C22" t="inlineStr">
        <is>
          <t>Internal</t>
        </is>
      </c>
      <c r="D22" t="n">
        <v>249</v>
      </c>
      <c r="E22" t="n">
        <v>518</v>
      </c>
      <c r="F22" t="n">
        <v>132.94</v>
      </c>
      <c r="G22" t="n">
        <v>386.5</v>
      </c>
      <c r="H22" t="inlineStr">
        <is>
          <t>Sep</t>
        </is>
      </c>
    </row>
    <row r="23">
      <c r="A23" t="n">
        <v>5023</v>
      </c>
      <c r="B23" s="2" t="n">
        <v>46303</v>
      </c>
      <c r="C23" t="inlineStr">
        <is>
          <t>Customer Pay</t>
        </is>
      </c>
      <c r="D23" t="n">
        <v>107</v>
      </c>
      <c r="E23" t="n">
        <v>443</v>
      </c>
      <c r="F23" t="n">
        <v>50.12</v>
      </c>
      <c r="G23" t="n">
        <v>302.39</v>
      </c>
      <c r="H23" t="inlineStr">
        <is>
          <t>Oct</t>
        </is>
      </c>
    </row>
    <row r="24">
      <c r="A24" t="n">
        <v>5024</v>
      </c>
      <c r="B24" s="2" t="n">
        <v>46335</v>
      </c>
      <c r="C24" t="inlineStr">
        <is>
          <t>Customer Pay</t>
        </is>
      </c>
      <c r="D24" t="n">
        <v>738</v>
      </c>
      <c r="E24" t="n">
        <v>478</v>
      </c>
      <c r="F24" t="n">
        <v>278.33</v>
      </c>
      <c r="G24" t="n">
        <v>307.04</v>
      </c>
      <c r="H24" t="inlineStr">
        <is>
          <t>Nov</t>
        </is>
      </c>
    </row>
    <row r="25">
      <c r="A25" t="n">
        <v>5025</v>
      </c>
      <c r="B25" s="2" t="n">
        <v>46366</v>
      </c>
      <c r="C25" t="inlineStr">
        <is>
          <t>Warranty</t>
        </is>
      </c>
      <c r="D25" t="n">
        <v>346</v>
      </c>
      <c r="E25" t="n">
        <v>428</v>
      </c>
      <c r="F25" t="n">
        <v>143.75</v>
      </c>
      <c r="G25" t="n">
        <v>274.32</v>
      </c>
      <c r="H25" t="inlineStr">
        <is>
          <t>Dec</t>
        </is>
      </c>
    </row>
    <row r="26">
      <c r="A26" t="n">
        <v>5026</v>
      </c>
      <c r="B26" s="2" t="n">
        <v>46033</v>
      </c>
      <c r="C26" t="inlineStr">
        <is>
          <t>Warranty</t>
        </is>
      </c>
      <c r="D26" t="n">
        <v>859</v>
      </c>
      <c r="E26" t="n">
        <v>428</v>
      </c>
      <c r="F26" t="n">
        <v>348.45</v>
      </c>
      <c r="G26" t="n">
        <v>316.82</v>
      </c>
      <c r="H26" t="inlineStr">
        <is>
          <t>Jan</t>
        </is>
      </c>
    </row>
    <row r="27">
      <c r="A27" t="n">
        <v>5027</v>
      </c>
      <c r="B27" s="2" t="n">
        <v>46065</v>
      </c>
      <c r="C27" t="inlineStr">
        <is>
          <t>Customer Pay</t>
        </is>
      </c>
      <c r="D27" t="n">
        <v>338</v>
      </c>
      <c r="E27" t="n">
        <v>123</v>
      </c>
      <c r="F27" t="n">
        <v>150.09</v>
      </c>
      <c r="G27" t="n">
        <v>86.08</v>
      </c>
      <c r="H27" t="inlineStr">
        <is>
          <t>Feb</t>
        </is>
      </c>
    </row>
    <row r="28">
      <c r="A28" t="n">
        <v>5028</v>
      </c>
      <c r="B28" s="2" t="n">
        <v>46094</v>
      </c>
      <c r="C28" t="inlineStr">
        <is>
          <t>Internal</t>
        </is>
      </c>
      <c r="D28" t="n">
        <v>438</v>
      </c>
      <c r="E28" t="n">
        <v>269</v>
      </c>
      <c r="F28" t="n">
        <v>210.25</v>
      </c>
      <c r="G28" t="n">
        <v>189.98</v>
      </c>
      <c r="H28" t="inlineStr">
        <is>
          <t>Mar</t>
        </is>
      </c>
    </row>
    <row r="29">
      <c r="A29" t="n">
        <v>5029</v>
      </c>
      <c r="B29" s="2" t="n">
        <v>46126</v>
      </c>
      <c r="C29" t="inlineStr">
        <is>
          <t>Customer Pay</t>
        </is>
      </c>
      <c r="D29" t="n">
        <v>121</v>
      </c>
      <c r="E29" t="n">
        <v>71</v>
      </c>
      <c r="F29" t="n">
        <v>65.33</v>
      </c>
      <c r="G29" t="n">
        <v>41.88</v>
      </c>
      <c r="H29" t="inlineStr">
        <is>
          <t>Apr</t>
        </is>
      </c>
    </row>
    <row r="30">
      <c r="A30" t="n">
        <v>5030</v>
      </c>
      <c r="B30" s="2" t="n">
        <v>46157</v>
      </c>
      <c r="C30" t="inlineStr">
        <is>
          <t>Customer Pay</t>
        </is>
      </c>
      <c r="D30" t="n">
        <v>716</v>
      </c>
      <c r="E30" t="n">
        <v>196</v>
      </c>
      <c r="F30" t="n">
        <v>284.76</v>
      </c>
      <c r="G30" t="n">
        <v>126.36</v>
      </c>
      <c r="H30" t="inlineStr">
        <is>
          <t>May</t>
        </is>
      </c>
    </row>
    <row r="31">
      <c r="A31" t="n">
        <v>5031</v>
      </c>
      <c r="B31" s="2" t="n">
        <v>46189</v>
      </c>
      <c r="C31" t="inlineStr">
        <is>
          <t>Warranty</t>
        </is>
      </c>
      <c r="D31" t="n">
        <v>657</v>
      </c>
      <c r="E31" t="n">
        <v>263</v>
      </c>
      <c r="F31" t="n">
        <v>291.06</v>
      </c>
      <c r="G31" t="n">
        <v>158.13</v>
      </c>
      <c r="H31" t="inlineStr">
        <is>
          <t>Jun</t>
        </is>
      </c>
    </row>
    <row r="32">
      <c r="A32" t="n">
        <v>5032</v>
      </c>
      <c r="B32" s="2" t="n">
        <v>46220</v>
      </c>
      <c r="C32" t="inlineStr">
        <is>
          <t>Customer Pay</t>
        </is>
      </c>
      <c r="D32" t="n">
        <v>251</v>
      </c>
      <c r="E32" t="n">
        <v>660</v>
      </c>
      <c r="F32" t="n">
        <v>118.33</v>
      </c>
      <c r="G32" t="n">
        <v>461.73</v>
      </c>
      <c r="H32" t="inlineStr">
        <is>
          <t>Jul</t>
        </is>
      </c>
    </row>
    <row r="33">
      <c r="A33" t="n">
        <v>5033</v>
      </c>
      <c r="B33" s="2" t="n">
        <v>46252</v>
      </c>
      <c r="C33" t="inlineStr">
        <is>
          <t>Customer Pay</t>
        </is>
      </c>
      <c r="D33" t="n">
        <v>876</v>
      </c>
      <c r="E33" t="n">
        <v>207</v>
      </c>
      <c r="F33" t="n">
        <v>475.62</v>
      </c>
      <c r="G33" t="n">
        <v>118.33</v>
      </c>
      <c r="H33" t="inlineStr">
        <is>
          <t>Aug</t>
        </is>
      </c>
    </row>
    <row r="34">
      <c r="A34" t="n">
        <v>5034</v>
      </c>
      <c r="B34" s="2" t="n">
        <v>46284</v>
      </c>
      <c r="C34" t="inlineStr">
        <is>
          <t>Warranty</t>
        </is>
      </c>
      <c r="D34" t="n">
        <v>399</v>
      </c>
      <c r="E34" t="n">
        <v>629</v>
      </c>
      <c r="F34" t="n">
        <v>193.7</v>
      </c>
      <c r="G34" t="n">
        <v>466.49</v>
      </c>
      <c r="H34" t="inlineStr">
        <is>
          <t>Sep</t>
        </is>
      </c>
    </row>
    <row r="35">
      <c r="A35" t="n">
        <v>5035</v>
      </c>
      <c r="B35" s="2" t="n">
        <v>46315</v>
      </c>
      <c r="C35" t="inlineStr">
        <is>
          <t>Internal</t>
        </is>
      </c>
      <c r="D35" t="n">
        <v>812</v>
      </c>
      <c r="E35" t="n">
        <v>243</v>
      </c>
      <c r="F35" t="n">
        <v>296.54</v>
      </c>
      <c r="G35" t="n">
        <v>167.21</v>
      </c>
      <c r="H35" t="inlineStr">
        <is>
          <t>Oct</t>
        </is>
      </c>
    </row>
    <row r="36">
      <c r="A36" t="n">
        <v>5036</v>
      </c>
      <c r="B36" s="2" t="n">
        <v>46347</v>
      </c>
      <c r="C36" t="inlineStr">
        <is>
          <t>Internal</t>
        </is>
      </c>
      <c r="D36" t="n">
        <v>328</v>
      </c>
      <c r="E36" t="n">
        <v>144</v>
      </c>
      <c r="F36" t="n">
        <v>160.54</v>
      </c>
      <c r="G36" t="n">
        <v>87.89</v>
      </c>
      <c r="H36" t="inlineStr">
        <is>
          <t>Nov</t>
        </is>
      </c>
    </row>
    <row r="37">
      <c r="A37" t="n">
        <v>5037</v>
      </c>
      <c r="B37" s="2" t="n">
        <v>46378</v>
      </c>
      <c r="C37" t="inlineStr">
        <is>
          <t>Customer Pay</t>
        </is>
      </c>
      <c r="D37" t="n">
        <v>694</v>
      </c>
      <c r="E37" t="n">
        <v>163</v>
      </c>
      <c r="F37" t="n">
        <v>353.42</v>
      </c>
      <c r="G37" t="n">
        <v>108.1</v>
      </c>
      <c r="H37" t="inlineStr">
        <is>
          <t>Dec</t>
        </is>
      </c>
    </row>
    <row r="38">
      <c r="A38" t="n">
        <v>5038</v>
      </c>
      <c r="B38" s="2" t="n">
        <v>46045</v>
      </c>
      <c r="C38" t="inlineStr">
        <is>
          <t>Internal</t>
        </is>
      </c>
      <c r="D38" t="n">
        <v>435</v>
      </c>
      <c r="E38" t="n">
        <v>585</v>
      </c>
      <c r="F38" t="n">
        <v>189.52</v>
      </c>
      <c r="G38" t="n">
        <v>365.11</v>
      </c>
      <c r="H38" t="inlineStr">
        <is>
          <t>Jan</t>
        </is>
      </c>
    </row>
    <row r="39">
      <c r="A39" t="n">
        <v>5039</v>
      </c>
      <c r="B39" s="2" t="n">
        <v>46077</v>
      </c>
      <c r="C39" t="inlineStr">
        <is>
          <t>Warranty</t>
        </is>
      </c>
      <c r="D39" t="n">
        <v>743</v>
      </c>
      <c r="E39" t="n">
        <v>389</v>
      </c>
      <c r="F39" t="n">
        <v>261.93</v>
      </c>
      <c r="G39" t="n">
        <v>246.63</v>
      </c>
      <c r="H39" t="inlineStr">
        <is>
          <t>Feb</t>
        </is>
      </c>
    </row>
    <row r="40">
      <c r="A40" t="n">
        <v>5040</v>
      </c>
      <c r="B40" s="2" t="n">
        <v>46086</v>
      </c>
      <c r="C40" t="inlineStr">
        <is>
          <t>Warranty</t>
        </is>
      </c>
      <c r="D40" t="n">
        <v>188</v>
      </c>
      <c r="E40" t="n">
        <v>483</v>
      </c>
      <c r="F40" t="n">
        <v>101.93</v>
      </c>
      <c r="G40" t="n">
        <v>327.05</v>
      </c>
      <c r="H40" t="inlineStr">
        <is>
          <t>Mar</t>
        </is>
      </c>
    </row>
    <row r="41">
      <c r="A41" t="n">
        <v>5041</v>
      </c>
      <c r="B41" s="2" t="n">
        <v>46118</v>
      </c>
      <c r="C41" t="inlineStr">
        <is>
          <t>Internal</t>
        </is>
      </c>
      <c r="D41" t="n">
        <v>804</v>
      </c>
      <c r="E41" t="n">
        <v>196</v>
      </c>
      <c r="F41" t="n">
        <v>351.43</v>
      </c>
      <c r="G41" t="n">
        <v>136.56</v>
      </c>
      <c r="H41" t="inlineStr">
        <is>
          <t>Apr</t>
        </is>
      </c>
    </row>
    <row r="42">
      <c r="A42" t="n">
        <v>5042</v>
      </c>
      <c r="B42" s="2" t="n">
        <v>46149</v>
      </c>
      <c r="C42" t="inlineStr">
        <is>
          <t>Warranty</t>
        </is>
      </c>
      <c r="D42" t="n">
        <v>356</v>
      </c>
      <c r="E42" t="n">
        <v>670</v>
      </c>
      <c r="F42" t="n">
        <v>182.14</v>
      </c>
      <c r="G42" t="n">
        <v>440.62</v>
      </c>
      <c r="H42" t="inlineStr">
        <is>
          <t>May</t>
        </is>
      </c>
    </row>
    <row r="43">
      <c r="A43" t="n">
        <v>5043</v>
      </c>
      <c r="B43" s="2" t="n">
        <v>46181</v>
      </c>
      <c r="C43" t="inlineStr">
        <is>
          <t>Warranty</t>
        </is>
      </c>
      <c r="D43" t="n">
        <v>556</v>
      </c>
      <c r="E43" t="n">
        <v>486</v>
      </c>
      <c r="F43" t="n">
        <v>286.42</v>
      </c>
      <c r="G43" t="n">
        <v>324.89</v>
      </c>
      <c r="H43" t="inlineStr">
        <is>
          <t>Jun</t>
        </is>
      </c>
    </row>
    <row r="44">
      <c r="A44" t="n">
        <v>5044</v>
      </c>
      <c r="B44" s="2" t="n">
        <v>46212</v>
      </c>
      <c r="C44" t="inlineStr">
        <is>
          <t>Warranty</t>
        </is>
      </c>
      <c r="D44" t="n">
        <v>331</v>
      </c>
      <c r="E44" t="n">
        <v>128</v>
      </c>
      <c r="F44" t="n">
        <v>134.32</v>
      </c>
      <c r="G44" t="n">
        <v>81.94</v>
      </c>
      <c r="H44" t="inlineStr">
        <is>
          <t>Jul</t>
        </is>
      </c>
    </row>
    <row r="45">
      <c r="A45" t="n">
        <v>5045</v>
      </c>
      <c r="B45" s="2" t="n">
        <v>46244</v>
      </c>
      <c r="C45" t="inlineStr">
        <is>
          <t>Warranty</t>
        </is>
      </c>
      <c r="D45" t="n">
        <v>663</v>
      </c>
      <c r="E45" t="n">
        <v>664</v>
      </c>
      <c r="F45" t="n">
        <v>320.65</v>
      </c>
      <c r="G45" t="n">
        <v>409.87</v>
      </c>
      <c r="H45" t="inlineStr">
        <is>
          <t>Aug</t>
        </is>
      </c>
    </row>
    <row r="46">
      <c r="A46" t="n">
        <v>5046</v>
      </c>
      <c r="B46" s="2" t="n">
        <v>46276</v>
      </c>
      <c r="C46" t="inlineStr">
        <is>
          <t>Warranty</t>
        </is>
      </c>
      <c r="D46" t="n">
        <v>412</v>
      </c>
      <c r="E46" t="n">
        <v>226</v>
      </c>
      <c r="F46" t="n">
        <v>184.37</v>
      </c>
      <c r="G46" t="n">
        <v>140.34</v>
      </c>
      <c r="H46" t="inlineStr">
        <is>
          <t>Sep</t>
        </is>
      </c>
    </row>
    <row r="47">
      <c r="A47" t="n">
        <v>5047</v>
      </c>
      <c r="B47" s="2" t="n">
        <v>46307</v>
      </c>
      <c r="C47" t="inlineStr">
        <is>
          <t>Warranty</t>
        </is>
      </c>
      <c r="D47" t="n">
        <v>428</v>
      </c>
      <c r="E47" t="n">
        <v>326</v>
      </c>
      <c r="F47" t="n">
        <v>225.16</v>
      </c>
      <c r="G47" t="n">
        <v>225.02</v>
      </c>
      <c r="H47" t="inlineStr">
        <is>
          <t>Oct</t>
        </is>
      </c>
    </row>
    <row r="48">
      <c r="A48" t="n">
        <v>5048</v>
      </c>
      <c r="B48" s="2" t="n">
        <v>46339</v>
      </c>
      <c r="C48" t="inlineStr">
        <is>
          <t>Customer Pay</t>
        </is>
      </c>
      <c r="D48" t="n">
        <v>649</v>
      </c>
      <c r="E48" t="n">
        <v>50</v>
      </c>
      <c r="F48" t="n">
        <v>294.21</v>
      </c>
      <c r="G48" t="n">
        <v>29.41</v>
      </c>
      <c r="H48" t="inlineStr">
        <is>
          <t>Nov</t>
        </is>
      </c>
    </row>
    <row r="49">
      <c r="A49" t="n">
        <v>5049</v>
      </c>
      <c r="B49" s="2" t="n">
        <v>46370</v>
      </c>
      <c r="C49" t="inlineStr">
        <is>
          <t>Internal</t>
        </is>
      </c>
      <c r="D49" t="n">
        <v>817</v>
      </c>
      <c r="E49" t="n">
        <v>456</v>
      </c>
      <c r="F49" t="n">
        <v>365.78</v>
      </c>
      <c r="G49" t="n">
        <v>319.94</v>
      </c>
      <c r="H49" t="inlineStr">
        <is>
          <t>Dec</t>
        </is>
      </c>
    </row>
    <row r="50">
      <c r="A50" t="n">
        <v>5050</v>
      </c>
      <c r="B50" s="2" t="n">
        <v>46037</v>
      </c>
      <c r="C50" t="inlineStr">
        <is>
          <t>Warranty</t>
        </is>
      </c>
      <c r="D50" t="n">
        <v>567</v>
      </c>
      <c r="E50" t="n">
        <v>542</v>
      </c>
      <c r="F50" t="n">
        <v>249.27</v>
      </c>
      <c r="G50" t="n">
        <v>299.97</v>
      </c>
      <c r="H50" t="inlineStr">
        <is>
          <t>Jan</t>
        </is>
      </c>
    </row>
    <row r="51">
      <c r="A51" t="n">
        <v>5051</v>
      </c>
      <c r="B51" s="2" t="n">
        <v>46069</v>
      </c>
      <c r="C51" t="inlineStr">
        <is>
          <t>Internal</t>
        </is>
      </c>
      <c r="D51" t="n">
        <v>306</v>
      </c>
      <c r="E51" t="n">
        <v>454</v>
      </c>
      <c r="F51" t="n">
        <v>149.44</v>
      </c>
      <c r="G51" t="n">
        <v>277.5</v>
      </c>
      <c r="H51" t="inlineStr">
        <is>
          <t>Feb</t>
        </is>
      </c>
    </row>
    <row r="55">
      <c r="A55" t="inlineStr">
        <is>
          <t>Total Labor Gross</t>
        </is>
      </c>
      <c r="B55">
        <f>SUM(D2:D51)-SUM(F2:F51)</f>
        <v/>
      </c>
    </row>
    <row r="56">
      <c r="A56" t="inlineStr">
        <is>
          <t>Total Parts Gross</t>
        </is>
      </c>
      <c r="B56">
        <f>SUM(E2:E51)-SUM(G2:G51)</f>
        <v/>
      </c>
    </row>
    <row r="57">
      <c r="A57" t="inlineStr">
        <is>
          <t>Total Service &amp; Parts Gross</t>
        </is>
      </c>
      <c r="B57">
        <f>B55+B56</f>
        <v/>
      </c>
    </row>
    <row r="60">
      <c r="A60" t="inlineStr">
        <is>
          <t>S&amp;P Gross Jan</t>
        </is>
      </c>
      <c r="B60">
        <f>(SUMIFS(D2:D51,H2:H51,"Jan")-SUMIFS(F2:F51,H2:H51,"Jan"))+(SUMIFS(E2:E51,H2:H51,"Jan")-SUMIFS(G2:G51,H2:H51,"Jan"))</f>
        <v/>
      </c>
    </row>
    <row r="61">
      <c r="A61" t="inlineStr">
        <is>
          <t>S&amp;P Gross Feb</t>
        </is>
      </c>
      <c r="B61">
        <f>(SUMIFS(D2:D51,H2:H51,"Feb")-SUMIFS(F2:F51,H2:H51,"Feb"))+(SUMIFS(E2:E51,H2:H51,"Feb")-SUMIFS(G2:G51,H2:H51,"Feb"))</f>
        <v/>
      </c>
    </row>
    <row r="62">
      <c r="A62" t="inlineStr">
        <is>
          <t>S&amp;P Gross Mar</t>
        </is>
      </c>
      <c r="B62">
        <f>(SUMIFS(D2:D51,H2:H51,"Mar")-SUMIFS(F2:F51,H2:H51,"Mar"))+(SUMIFS(E2:E51,H2:H51,"Mar")-SUMIFS(G2:G51,H2:H51,"Mar"))</f>
        <v/>
      </c>
    </row>
    <row r="63">
      <c r="A63" t="inlineStr">
        <is>
          <t>S&amp;P Gross Apr</t>
        </is>
      </c>
      <c r="B63">
        <f>(SUMIFS(D2:D51,H2:H51,"Apr")-SUMIFS(F2:F51,H2:H51,"Apr"))+(SUMIFS(E2:E51,H2:H51,"Apr")-SUMIFS(G2:G51,H2:H51,"Apr"))</f>
        <v/>
      </c>
    </row>
    <row r="64">
      <c r="A64" t="inlineStr">
        <is>
          <t>S&amp;P Gross May</t>
        </is>
      </c>
      <c r="B64">
        <f>(SUMIFS(D2:D51,H2:H51,"May")-SUMIFS(F2:F51,H2:H51,"May"))+(SUMIFS(E2:E51,H2:H51,"May")-SUMIFS(G2:G51,H2:H51,"May"))</f>
        <v/>
      </c>
    </row>
    <row r="65">
      <c r="A65" t="inlineStr">
        <is>
          <t>S&amp;P Gross Jun</t>
        </is>
      </c>
      <c r="B65">
        <f>(SUMIFS(D2:D51,H2:H51,"Jun")-SUMIFS(F2:F51,H2:H51,"Jun"))+(SUMIFS(E2:E51,H2:H51,"Jun")-SUMIFS(G2:G51,H2:H51,"Jun"))</f>
        <v/>
      </c>
    </row>
    <row r="66">
      <c r="A66" t="inlineStr">
        <is>
          <t>S&amp;P Gross Jul</t>
        </is>
      </c>
      <c r="B66">
        <f>(SUMIFS(D2:D51,H2:H51,"Jul")-SUMIFS(F2:F51,H2:H51,"Jul"))+(SUMIFS(E2:E51,H2:H51,"Jul")-SUMIFS(G2:G51,H2:H51,"Jul"))</f>
        <v/>
      </c>
    </row>
    <row r="67">
      <c r="A67" t="inlineStr">
        <is>
          <t>S&amp;P Gross Aug</t>
        </is>
      </c>
      <c r="B67">
        <f>(SUMIFS(D2:D51,H2:H51,"Aug")-SUMIFS(F2:F51,H2:H51,"Aug"))+(SUMIFS(E2:E51,H2:H51,"Aug")-SUMIFS(G2:G51,H2:H51,"Aug"))</f>
        <v/>
      </c>
    </row>
    <row r="68">
      <c r="A68" t="inlineStr">
        <is>
          <t>S&amp;P Gross Sep</t>
        </is>
      </c>
      <c r="B68">
        <f>(SUMIFS(D2:D51,H2:H51,"Sep")-SUMIFS(F2:F51,H2:H51,"Sep"))+(SUMIFS(E2:E51,H2:H51,"Sep")-SUMIFS(G2:G51,H2:H51,"Sep"))</f>
        <v/>
      </c>
    </row>
    <row r="69">
      <c r="A69" t="inlineStr">
        <is>
          <t>S&amp;P Gross Oct</t>
        </is>
      </c>
      <c r="B69">
        <f>(SUMIFS(D2:D51,H2:H51,"Oct")-SUMIFS(F2:F51,H2:H51,"Oct"))+(SUMIFS(E2:E51,H2:H51,"Oct")-SUMIFS(G2:G51,H2:H51,"Oct"))</f>
        <v/>
      </c>
    </row>
    <row r="70">
      <c r="A70" t="inlineStr">
        <is>
          <t>S&amp;P Gross Nov</t>
        </is>
      </c>
      <c r="B70">
        <f>(SUMIFS(D2:D51,H2:H51,"Nov")-SUMIFS(F2:F51,H2:H51,"Nov"))+(SUMIFS(E2:E51,H2:H51,"Nov")-SUMIFS(G2:G51,H2:H51,"Nov"))</f>
        <v/>
      </c>
    </row>
    <row r="71">
      <c r="A71" t="inlineStr">
        <is>
          <t>S&amp;P Gross Dec</t>
        </is>
      </c>
      <c r="B71">
        <f>(SUMIFS(D2:D51,H2:H51,"Dec")-SUMIFS(F2:F51,H2:H51,"Dec"))+(SUMIFS(E2:E51,H2:H51,"Dec")-SUMIFS(G2:G51,H2:H51,"Dec"))</f>
        <v/>
      </c>
    </row>
    <row r="75">
      <c r="A75" t="inlineStr">
        <is>
          <t>Service Absorption Rate</t>
        </is>
      </c>
      <c r="B75">
        <f>B57/'P&amp;L Summary'!B30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2026-04-15T01:14:37Z</dcterms:created>
  <dcterms:modified xmlns:dcterms="http://purl.org/dc/terms/" xmlns:xsi="http://www.w3.org/2001/XMLSchema-instance" xsi:type="dcterms:W3CDTF">2026-04-15T01:14:37Z</dcterms:modified>
</cp:coreProperties>
</file>